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ardogutierrez/Desktop/Academics/Spring_2026/CS4620/Data/"/>
    </mc:Choice>
  </mc:AlternateContent>
  <xr:revisionPtr revIDLastSave="0" documentId="13_ncr:1_{A870F18B-5530-BD4D-A412-1D92F3E2FFA6}" xr6:coauthVersionLast="47" xr6:coauthVersionMax="47" xr10:uidLastSave="{00000000-0000-0000-0000-000000000000}"/>
  <bookViews>
    <workbookView xWindow="-33520" yWindow="-1080" windowWidth="27640" windowHeight="19320" xr2:uid="{00000000-000D-0000-FFFF-FFFF00000000}"/>
  </bookViews>
  <sheets>
    <sheet name="Data_Collection" sheetId="1" r:id="rId1"/>
    <sheet name="Targets" sheetId="2" r:id="rId2"/>
    <sheet name="EC_Log" sheetId="3" r:id="rId3"/>
    <sheet name="Aggregations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H84" i="1"/>
  <c r="F86" i="1" l="1"/>
  <c r="F84" i="1"/>
  <c r="F83" i="1"/>
  <c r="F82" i="1"/>
  <c r="F80" i="1"/>
  <c r="F79" i="1"/>
  <c r="F85" i="1"/>
  <c r="F88" i="1"/>
  <c r="F87" i="1"/>
  <c r="F81" i="1"/>
  <c r="F74" i="1"/>
  <c r="F75" i="1"/>
  <c r="F72" i="1"/>
  <c r="F70" i="1"/>
  <c r="F69" i="1"/>
  <c r="F68" i="1"/>
  <c r="F73" i="1"/>
  <c r="F77" i="1"/>
  <c r="F76" i="1"/>
  <c r="F71" i="1"/>
  <c r="F62" i="1"/>
  <c r="F63" i="1"/>
  <c r="F59" i="1"/>
  <c r="F60" i="1"/>
  <c r="F58" i="1"/>
  <c r="F57" i="1"/>
  <c r="F65" i="1"/>
  <c r="F66" i="1"/>
  <c r="F64" i="1"/>
  <c r="F61" i="1"/>
  <c r="F55" i="1"/>
  <c r="F50" i="1"/>
  <c r="F51" i="1"/>
  <c r="F49" i="1"/>
  <c r="F46" i="1"/>
  <c r="F47" i="1"/>
  <c r="F54" i="1"/>
  <c r="F53" i="1"/>
  <c r="F52" i="1"/>
  <c r="F48" i="1"/>
  <c r="F44" i="1"/>
  <c r="F42" i="1"/>
  <c r="F36" i="1"/>
  <c r="F35" i="1"/>
  <c r="F39" i="1"/>
  <c r="F38" i="1"/>
  <c r="F41" i="1"/>
  <c r="F43" i="1"/>
  <c r="F40" i="1"/>
  <c r="F37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32" i="1"/>
  <c r="F33" i="1"/>
  <c r="F3" i="1"/>
  <c r="F2" i="1"/>
  <c r="F10" i="5" a="1"/>
  <c r="F10" i="5" s="1"/>
  <c r="E10" i="5" a="1"/>
  <c r="E10" i="5" s="1"/>
  <c r="F9" i="5" a="1"/>
  <c r="F9" i="5" s="1"/>
  <c r="E9" i="5" a="1"/>
  <c r="E9" i="5" s="1"/>
  <c r="F8" i="5" a="1"/>
  <c r="F8" i="5" s="1"/>
  <c r="E8" i="5" a="1"/>
  <c r="E8" i="5" s="1"/>
  <c r="F7" i="5" a="1"/>
  <c r="F7" i="5" s="1"/>
  <c r="E7" i="5" a="1"/>
  <c r="E7" i="5" s="1"/>
  <c r="F6" i="5" a="1"/>
  <c r="F6" i="5" s="1"/>
  <c r="E6" i="5" a="1"/>
  <c r="E6" i="5" s="1"/>
  <c r="F5" i="5" a="1"/>
  <c r="F5" i="5" s="1"/>
  <c r="E5" i="5" a="1"/>
  <c r="E5" i="5" s="1"/>
  <c r="F4" i="5" a="1"/>
  <c r="F4" i="5" s="1"/>
  <c r="E4" i="5" a="1"/>
  <c r="E4" i="5" s="1"/>
  <c r="F3" i="5" a="1"/>
  <c r="F3" i="5" s="1"/>
  <c r="E3" i="5" a="1"/>
  <c r="E3" i="5" s="1"/>
  <c r="F2" i="5" a="1"/>
  <c r="F2" i="5" s="1"/>
  <c r="E2" i="5" a="1"/>
  <c r="E2" i="5" s="1"/>
  <c r="D2" i="5"/>
  <c r="C2" i="5"/>
  <c r="B2" i="5"/>
  <c r="G84" i="1" l="1"/>
  <c r="G73" i="1"/>
  <c r="G62" i="1"/>
  <c r="H62" i="1"/>
  <c r="G51" i="1"/>
  <c r="H51" i="1"/>
  <c r="H40" i="1"/>
  <c r="H18" i="1"/>
  <c r="H7" i="1"/>
  <c r="H29" i="1"/>
  <c r="G40" i="1"/>
  <c r="G18" i="1"/>
  <c r="G29" i="1"/>
  <c r="G7" i="1"/>
  <c r="G2" i="5"/>
  <c r="C8" i="5" l="1"/>
  <c r="D8" i="5"/>
  <c r="B8" i="5"/>
  <c r="G8" i="5"/>
  <c r="D4" i="5"/>
  <c r="G4" i="5"/>
  <c r="B4" i="5"/>
  <c r="C4" i="5"/>
  <c r="G6" i="5"/>
  <c r="C6" i="5"/>
  <c r="B6" i="5"/>
  <c r="D6" i="5"/>
  <c r="G10" i="5"/>
  <c r="D10" i="5"/>
  <c r="B10" i="5"/>
  <c r="C10" i="5"/>
  <c r="C3" i="5"/>
  <c r="G3" i="5"/>
  <c r="B3" i="5"/>
  <c r="D3" i="5"/>
  <c r="G7" i="5"/>
  <c r="D7" i="5"/>
  <c r="B7" i="5"/>
  <c r="C7" i="5"/>
  <c r="G5" i="5"/>
  <c r="C5" i="5"/>
  <c r="B5" i="5"/>
  <c r="D5" i="5"/>
  <c r="G9" i="5"/>
  <c r="D9" i="5"/>
  <c r="B9" i="5"/>
  <c r="C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<sst xmlns="http://schemas.openxmlformats.org/spreadsheetml/2006/main" count="63" uniqueCount="45">
  <si>
    <t>Date</t>
  </si>
  <si>
    <t>Day</t>
  </si>
  <si>
    <t>FW_Target_Mid_g</t>
  </si>
  <si>
    <t>FW_Target_Low_g</t>
  </si>
  <si>
    <t>FW_Target_High_g</t>
  </si>
  <si>
    <t>Status</t>
  </si>
  <si>
    <t>Median_FW_g</t>
  </si>
  <si>
    <t>Min_FW_g</t>
  </si>
  <si>
    <t>Max_FW_g</t>
  </si>
  <si>
    <t>In_Band?</t>
  </si>
  <si>
    <t>Median Net Fresh Weight</t>
  </si>
  <si>
    <t>Target Fresh Weight</t>
  </si>
  <si>
    <t>Targets Days.</t>
  </si>
  <si>
    <t>Target Fresh Weight Range</t>
  </si>
  <si>
    <t>7.5  -  10.1</t>
  </si>
  <si>
    <t>18.9 - 25.5</t>
  </si>
  <si>
    <t>47.6 - 64.4</t>
  </si>
  <si>
    <t>88.9 - 108.6</t>
  </si>
  <si>
    <t>127.4 - 155.7</t>
  </si>
  <si>
    <t>165.8 - 202.7</t>
  </si>
  <si>
    <t>211.1 - 242.9</t>
  </si>
  <si>
    <t xml:space="preserve">Target Mid Range </t>
  </si>
  <si>
    <t>Actual Mid Range</t>
  </si>
  <si>
    <t>New EC</t>
  </si>
  <si>
    <t>3.0 - 4.0</t>
  </si>
  <si>
    <t>Above</t>
  </si>
  <si>
    <t>EC Range. Now</t>
  </si>
  <si>
    <t>1.4 - 1.6</t>
  </si>
  <si>
    <t>1.2 - 1.4</t>
  </si>
  <si>
    <t>Below</t>
  </si>
  <si>
    <t>Note</t>
  </si>
  <si>
    <t>EC Change</t>
  </si>
  <si>
    <t>Initial</t>
  </si>
  <si>
    <t>Plant-ID</t>
  </si>
  <si>
    <t>New Fresh Weight (g)</t>
  </si>
  <si>
    <t>Median Fresh Weight (g)</t>
  </si>
  <si>
    <t>Total Fresh Weight (g)</t>
  </si>
  <si>
    <t>Baseline (g)</t>
  </si>
  <si>
    <t>1.4-1.6</t>
  </si>
  <si>
    <t>1.6-1.8</t>
  </si>
  <si>
    <t>Average Fresh Weight (g)</t>
  </si>
  <si>
    <t>root cut</t>
  </si>
  <si>
    <t xml:space="preserve">Change in light </t>
  </si>
  <si>
    <t>1.8-2.0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</si>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</sst>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2" xfId="0" applyBorder="1"/>
    <xf numFmtId="165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0" fontId="1" fillId="0" borderId="7" xfId="0" applyFon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4" fontId="1" fillId="0" borderId="2" xfId="0" applyNumberFormat="1" applyFont="1" applyBorder="1"/>
    <xf numFmtId="2" fontId="1" fillId="0" borderId="0" xfId="0" applyNumberFormat="1" applyFont="1"/>
    <xf numFmtId="2" fontId="0" fillId="0" borderId="3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164" fontId="1" fillId="0" borderId="7" xfId="0" applyNumberFormat="1" applyFont="1" applyBorder="1"/>
    <xf numFmtId="0" fontId="1" fillId="0" borderId="8" xfId="0" applyFont="1" applyBorder="1"/>
    <xf numFmtId="2" fontId="1" fillId="0" borderId="8" xfId="0" applyNumberFormat="1" applyFont="1" applyBorder="1"/>
    <xf numFmtId="2" fontId="1" fillId="0" borderId="9" xfId="0" applyNumberFormat="1" applyFont="1" applyBorder="1"/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2" fontId="0" fillId="2" borderId="0" xfId="0" applyNumberFormat="1" applyFill="1"/>
    <xf numFmtId="164" fontId="2" fillId="0" borderId="7" xfId="0" applyNumberFormat="1" applyFont="1" applyBorder="1"/>
    <xf numFmtId="0" fontId="2" fillId="0" borderId="8" xfId="0" applyFont="1" applyBorder="1"/>
    <xf numFmtId="165" fontId="2" fillId="0" borderId="8" xfId="0" applyNumberFormat="1" applyFont="1" applyBorder="1"/>
    <xf numFmtId="2" fontId="2" fillId="0" borderId="8" xfId="0" applyNumberFormat="1" applyFont="1" applyBorder="1"/>
    <xf numFmtId="165" fontId="2" fillId="0" borderId="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Lettuce</a:t>
            </a:r>
            <a:r>
              <a:rPr lang="en-US" b="1" baseline="0"/>
              <a:t> Actual Fresh Weight vs Targeted  Fresh Weight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Targets!$C$27</c:f>
              <c:strCache>
                <c:ptCount val="1"/>
                <c:pt idx="0">
                  <c:v>Median Net Fresh Weight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Targets!$B$28:$B$35</c:f>
              <c:numCache>
                <c:formatCode>0</c:formatCode>
                <c:ptCount val="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Targets!$C$28:$C$35</c:f>
              <c:numCache>
                <c:formatCode>0.0</c:formatCode>
                <c:ptCount val="8"/>
                <c:pt idx="0">
                  <c:v>4.7</c:v>
                </c:pt>
                <c:pt idx="1">
                  <c:v>13.1</c:v>
                </c:pt>
                <c:pt idx="2">
                  <c:v>19.8</c:v>
                </c:pt>
                <c:pt idx="3">
                  <c:v>27.3</c:v>
                </c:pt>
                <c:pt idx="4">
                  <c:v>42.3</c:v>
                </c:pt>
                <c:pt idx="5">
                  <c:v>80.8</c:v>
                </c:pt>
                <c:pt idx="6">
                  <c:v>139.30000000000001</c:v>
                </c:pt>
                <c:pt idx="7">
                  <c:v>219.8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6-46DB-BB89-E6A730BB47D0}"/>
            </c:ext>
          </c:extLst>
        </c:ser>
        <c:ser>
          <c:idx val="1"/>
          <c:order val="1"/>
          <c:tx>
            <c:strRef>
              <c:f>Targets!$D$27</c:f>
              <c:strCache>
                <c:ptCount val="1"/>
                <c:pt idx="0">
                  <c:v>Target Fresh Weight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Targets!$B$28:$B$35</c:f>
              <c:numCache>
                <c:formatCode>0</c:formatCode>
                <c:ptCount val="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Targets!$D$28:$D$35</c:f>
              <c:numCache>
                <c:formatCode>0.0</c:formatCode>
                <c:ptCount val="8"/>
                <c:pt idx="0">
                  <c:v>3.5</c:v>
                </c:pt>
                <c:pt idx="1">
                  <c:v>8.8000000000000007</c:v>
                </c:pt>
                <c:pt idx="2">
                  <c:v>22.2</c:v>
                </c:pt>
                <c:pt idx="3">
                  <c:v>56</c:v>
                </c:pt>
                <c:pt idx="4">
                  <c:v>98.8</c:v>
                </c:pt>
                <c:pt idx="5">
                  <c:v>141.5</c:v>
                </c:pt>
                <c:pt idx="6">
                  <c:v>184.3</c:v>
                </c:pt>
                <c:pt idx="7">
                  <c:v>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6-46DB-BB89-E6A730BB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458031"/>
        <c:axId val="959457551"/>
      </c:scatterChart>
      <c:valAx>
        <c:axId val="9594580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57551"/>
        <c:crosses val="autoZero"/>
        <c:crossBetween val="midCat"/>
        <c:majorUnit val="4"/>
      </c:valAx>
      <c:valAx>
        <c:axId val="959457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58031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215900</xdr:colOff>
      <xdr:row>21</xdr:row>
      <xdr:rowOff>53975</xdr:rowOff>
    </xdr:from>
    <xdr:to>
      <xdr:col>21</xdr:col>
      <xdr:colOff>520700</xdr:colOff>
      <xdr:row>36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D44BBF-68DD-87E5-93C9-F35B85CBB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2.6640625" style="1" bestFit="1" customWidth="1"/>
    <col min="2" max="2" width="6.6640625" customWidth="1"/>
    <col min="3" max="3" width="9.6640625" customWidth="1"/>
    <col min="4" max="4" width="25.6640625" style="2" bestFit="1" customWidth="1"/>
    <col min="5" max="5" width="15.83203125" style="3" bestFit="1" customWidth="1"/>
    <col min="6" max="6" width="25.1640625" style="2" bestFit="1" customWidth="1"/>
    <col min="7" max="7" width="28.6640625" style="2" bestFit="1" customWidth="1"/>
    <col min="8" max="8" width="28.6640625" customWidth="1"/>
  </cols>
  <sheetData>
    <row r="1" spans="1:8" ht="32.5" customHeight="1" thickBot="1" x14ac:dyDescent="0.3">
      <c r="A1" s="32" t="s">
        <v>0</v>
      </c>
      <c r="B1" s="33" t="s">
        <v>1</v>
      </c>
      <c r="C1" s="33" t="s">
        <v>33</v>
      </c>
      <c r="D1" s="34" t="s">
        <v>36</v>
      </c>
      <c r="E1" s="35" t="s">
        <v>37</v>
      </c>
      <c r="F1" s="34" t="s">
        <v>34</v>
      </c>
      <c r="G1" s="34" t="s">
        <v>35</v>
      </c>
      <c r="H1" s="36" t="s">
        <v>40</v>
      </c>
    </row>
    <row r="2" spans="1:8" x14ac:dyDescent="0.2">
      <c r="B2">
        <v>0</v>
      </c>
      <c r="C2">
        <v>6</v>
      </c>
      <c r="D2" s="2">
        <v>29.1</v>
      </c>
      <c r="E2" s="3">
        <v>25.22</v>
      </c>
      <c r="F2" s="2">
        <f>SUM(D2-E2)</f>
        <v>3.8800000000000026</v>
      </c>
    </row>
    <row r="3" spans="1:8" x14ac:dyDescent="0.2">
      <c r="B3">
        <v>0</v>
      </c>
      <c r="C3">
        <v>4</v>
      </c>
      <c r="D3" s="2">
        <v>29.3</v>
      </c>
      <c r="E3" s="3">
        <v>25.22</v>
      </c>
      <c r="F3" s="2">
        <f>SUM(D3-E3)</f>
        <v>4.0800000000000018</v>
      </c>
    </row>
    <row r="4" spans="1:8" x14ac:dyDescent="0.2">
      <c r="B4">
        <v>0</v>
      </c>
      <c r="C4">
        <v>9</v>
      </c>
      <c r="D4" s="2">
        <v>29.6</v>
      </c>
      <c r="E4" s="3">
        <v>25.22</v>
      </c>
      <c r="F4" s="2">
        <f t="shared" ref="F4:F42" si="0">SUM(D4-E4)</f>
        <v>4.3800000000000026</v>
      </c>
    </row>
    <row r="5" spans="1:8" x14ac:dyDescent="0.2">
      <c r="B5">
        <v>0</v>
      </c>
      <c r="C5">
        <v>1</v>
      </c>
      <c r="D5" s="2">
        <v>29.7</v>
      </c>
      <c r="E5" s="3">
        <v>25.22</v>
      </c>
      <c r="F5" s="2">
        <f t="shared" si="0"/>
        <v>4.4800000000000004</v>
      </c>
    </row>
    <row r="6" spans="1:8" x14ac:dyDescent="0.2">
      <c r="B6">
        <v>0</v>
      </c>
      <c r="C6">
        <v>8</v>
      </c>
      <c r="D6" s="2">
        <v>29.8</v>
      </c>
      <c r="E6" s="3">
        <v>25.22</v>
      </c>
      <c r="F6" s="2">
        <f t="shared" si="0"/>
        <v>4.5800000000000018</v>
      </c>
    </row>
    <row r="7" spans="1:8" x14ac:dyDescent="0.2">
      <c r="B7">
        <v>0</v>
      </c>
      <c r="C7">
        <v>2</v>
      </c>
      <c r="D7" s="2">
        <v>30.1</v>
      </c>
      <c r="E7" s="3">
        <v>25.22</v>
      </c>
      <c r="F7" s="2">
        <f t="shared" si="0"/>
        <v>4.8800000000000026</v>
      </c>
      <c r="G7" s="2">
        <f>SUM(F7+F6)/2</f>
        <v>4.7300000000000022</v>
      </c>
      <c r="H7" s="2">
        <f>AVERAGE(F2:F11)</f>
        <v>4.8900000000000023</v>
      </c>
    </row>
    <row r="8" spans="1:8" x14ac:dyDescent="0.2">
      <c r="B8">
        <v>0</v>
      </c>
      <c r="C8">
        <v>5</v>
      </c>
      <c r="D8" s="2">
        <v>30.2</v>
      </c>
      <c r="E8" s="3">
        <v>25.22</v>
      </c>
      <c r="F8" s="2">
        <f t="shared" si="0"/>
        <v>4.9800000000000004</v>
      </c>
    </row>
    <row r="9" spans="1:8" x14ac:dyDescent="0.2">
      <c r="B9">
        <v>0</v>
      </c>
      <c r="C9">
        <v>7</v>
      </c>
      <c r="D9" s="2">
        <v>30.4</v>
      </c>
      <c r="E9" s="3">
        <v>25.22</v>
      </c>
      <c r="F9" s="2">
        <f t="shared" si="0"/>
        <v>5.18</v>
      </c>
    </row>
    <row r="10" spans="1:8" x14ac:dyDescent="0.2">
      <c r="B10">
        <v>0</v>
      </c>
      <c r="C10">
        <v>10</v>
      </c>
      <c r="D10" s="2">
        <v>31.1</v>
      </c>
      <c r="E10" s="3">
        <v>25.22</v>
      </c>
      <c r="F10" s="2">
        <f t="shared" si="0"/>
        <v>5.8800000000000026</v>
      </c>
    </row>
    <row r="11" spans="1:8" x14ac:dyDescent="0.2">
      <c r="B11">
        <v>0</v>
      </c>
      <c r="C11">
        <v>3</v>
      </c>
      <c r="D11" s="2">
        <v>31.8</v>
      </c>
      <c r="E11" s="3">
        <v>25.22</v>
      </c>
      <c r="F11" s="2">
        <f t="shared" si="0"/>
        <v>6.5800000000000018</v>
      </c>
    </row>
    <row r="12" spans="1:8" ht="8" customHeight="1" x14ac:dyDescent="0.2">
      <c r="A12" s="28"/>
      <c r="B12" s="29"/>
      <c r="C12" s="29"/>
      <c r="D12" s="30"/>
      <c r="E12" s="31"/>
      <c r="F12" s="30"/>
      <c r="G12" s="30"/>
      <c r="H12" s="30"/>
    </row>
    <row r="13" spans="1:8" x14ac:dyDescent="0.2">
      <c r="B13">
        <v>4</v>
      </c>
      <c r="C13">
        <v>6</v>
      </c>
      <c r="D13" s="2">
        <v>33.1</v>
      </c>
      <c r="E13" s="3">
        <v>25.22</v>
      </c>
      <c r="F13" s="2">
        <f t="shared" si="0"/>
        <v>7.8800000000000026</v>
      </c>
    </row>
    <row r="14" spans="1:8" x14ac:dyDescent="0.2">
      <c r="B14">
        <v>4</v>
      </c>
      <c r="C14">
        <v>2</v>
      </c>
      <c r="D14" s="2">
        <v>36.299999999999997</v>
      </c>
      <c r="E14" s="3">
        <v>25.22</v>
      </c>
      <c r="F14" s="2">
        <f t="shared" si="0"/>
        <v>11.079999999999998</v>
      </c>
    </row>
    <row r="15" spans="1:8" x14ac:dyDescent="0.2">
      <c r="B15">
        <v>4</v>
      </c>
      <c r="C15">
        <v>8</v>
      </c>
      <c r="D15" s="2">
        <v>36.5</v>
      </c>
      <c r="E15" s="3">
        <v>25.22</v>
      </c>
      <c r="F15" s="2">
        <f t="shared" si="0"/>
        <v>11.280000000000001</v>
      </c>
    </row>
    <row r="16" spans="1:8" x14ac:dyDescent="0.2">
      <c r="B16">
        <v>4</v>
      </c>
      <c r="C16">
        <v>9</v>
      </c>
      <c r="D16" s="2">
        <v>36.9</v>
      </c>
      <c r="E16" s="3">
        <v>25.22</v>
      </c>
      <c r="F16" s="2">
        <f t="shared" si="0"/>
        <v>11.68</v>
      </c>
    </row>
    <row r="17" spans="1:8" x14ac:dyDescent="0.2">
      <c r="B17">
        <v>4</v>
      </c>
      <c r="C17">
        <v>1</v>
      </c>
      <c r="D17" s="2">
        <v>38.1</v>
      </c>
      <c r="E17" s="3">
        <v>25.22</v>
      </c>
      <c r="F17" s="2">
        <f t="shared" si="0"/>
        <v>12.880000000000003</v>
      </c>
    </row>
    <row r="18" spans="1:8" x14ac:dyDescent="0.2">
      <c r="B18">
        <v>4</v>
      </c>
      <c r="C18">
        <v>5</v>
      </c>
      <c r="D18" s="2">
        <v>38.5</v>
      </c>
      <c r="E18" s="3">
        <v>25.22</v>
      </c>
      <c r="F18" s="2">
        <f t="shared" si="0"/>
        <v>13.280000000000001</v>
      </c>
      <c r="G18" s="2">
        <f>SUM(F18+F17)/2</f>
        <v>13.080000000000002</v>
      </c>
      <c r="H18" s="2">
        <f>AVERAGE(F13:F22)</f>
        <v>12.760000000000002</v>
      </c>
    </row>
    <row r="19" spans="1:8" x14ac:dyDescent="0.2">
      <c r="B19">
        <v>4</v>
      </c>
      <c r="C19">
        <v>4</v>
      </c>
      <c r="D19" s="2">
        <v>39.200000000000003</v>
      </c>
      <c r="E19" s="3">
        <v>25.22</v>
      </c>
      <c r="F19" s="2">
        <f t="shared" si="0"/>
        <v>13.980000000000004</v>
      </c>
    </row>
    <row r="20" spans="1:8" x14ac:dyDescent="0.2">
      <c r="B20">
        <v>4</v>
      </c>
      <c r="C20">
        <v>7</v>
      </c>
      <c r="D20" s="2">
        <v>39.200000000000003</v>
      </c>
      <c r="E20" s="3">
        <v>25.22</v>
      </c>
      <c r="F20" s="2">
        <f t="shared" si="0"/>
        <v>13.980000000000004</v>
      </c>
    </row>
    <row r="21" spans="1:8" x14ac:dyDescent="0.2">
      <c r="B21">
        <v>4</v>
      </c>
      <c r="C21">
        <v>10</v>
      </c>
      <c r="D21" s="2">
        <v>39.9</v>
      </c>
      <c r="E21" s="3">
        <v>25.22</v>
      </c>
      <c r="F21" s="2">
        <f t="shared" si="0"/>
        <v>14.68</v>
      </c>
    </row>
    <row r="22" spans="1:8" x14ac:dyDescent="0.2">
      <c r="B22">
        <v>4</v>
      </c>
      <c r="C22">
        <v>3</v>
      </c>
      <c r="D22" s="2">
        <v>42.1</v>
      </c>
      <c r="E22" s="3">
        <v>25.22</v>
      </c>
      <c r="F22" s="2">
        <f t="shared" si="0"/>
        <v>16.880000000000003</v>
      </c>
    </row>
    <row r="23" spans="1:8" ht="9" customHeight="1" x14ac:dyDescent="0.2">
      <c r="A23" s="28"/>
      <c r="B23" s="29"/>
      <c r="C23" s="29"/>
      <c r="D23" s="30"/>
      <c r="E23" s="31"/>
      <c r="F23" s="30"/>
      <c r="G23" s="30"/>
      <c r="H23" s="30"/>
    </row>
    <row r="24" spans="1:8" x14ac:dyDescent="0.2">
      <c r="B24">
        <v>8</v>
      </c>
      <c r="C24">
        <v>6</v>
      </c>
      <c r="D24" s="2">
        <v>40.1</v>
      </c>
      <c r="E24" s="3">
        <v>25.22</v>
      </c>
      <c r="F24" s="2">
        <f t="shared" si="0"/>
        <v>14.880000000000003</v>
      </c>
    </row>
    <row r="25" spans="1:8" x14ac:dyDescent="0.2">
      <c r="B25">
        <v>8</v>
      </c>
      <c r="C25">
        <v>2</v>
      </c>
      <c r="D25" s="2">
        <v>43.4</v>
      </c>
      <c r="E25" s="3">
        <v>25.22</v>
      </c>
      <c r="F25" s="2">
        <f t="shared" si="0"/>
        <v>18.18</v>
      </c>
    </row>
    <row r="26" spans="1:8" x14ac:dyDescent="0.2">
      <c r="B26">
        <v>8</v>
      </c>
      <c r="C26">
        <v>8</v>
      </c>
      <c r="D26" s="2">
        <v>43.6</v>
      </c>
      <c r="E26" s="3">
        <v>25.22</v>
      </c>
      <c r="F26" s="2">
        <f t="shared" si="0"/>
        <v>18.380000000000003</v>
      </c>
    </row>
    <row r="27" spans="1:8" x14ac:dyDescent="0.2">
      <c r="B27">
        <v>8</v>
      </c>
      <c r="C27">
        <v>1</v>
      </c>
      <c r="D27" s="2">
        <v>44.3</v>
      </c>
      <c r="E27" s="3">
        <v>25.22</v>
      </c>
      <c r="F27" s="2">
        <f t="shared" si="0"/>
        <v>19.079999999999998</v>
      </c>
    </row>
    <row r="28" spans="1:8" x14ac:dyDescent="0.2">
      <c r="B28">
        <v>8</v>
      </c>
      <c r="C28">
        <v>6</v>
      </c>
      <c r="D28" s="2">
        <v>45</v>
      </c>
      <c r="E28" s="3">
        <v>25.22</v>
      </c>
      <c r="F28" s="2">
        <f t="shared" si="0"/>
        <v>19.78</v>
      </c>
    </row>
    <row r="29" spans="1:8" x14ac:dyDescent="0.2">
      <c r="B29">
        <v>8</v>
      </c>
      <c r="C29">
        <v>5</v>
      </c>
      <c r="D29" s="2">
        <v>45.1</v>
      </c>
      <c r="E29" s="3">
        <v>25.22</v>
      </c>
      <c r="F29" s="2">
        <f t="shared" si="0"/>
        <v>19.880000000000003</v>
      </c>
      <c r="G29" s="2">
        <f>SUM(F29+F28)/2</f>
        <v>19.830000000000002</v>
      </c>
      <c r="H29" s="2">
        <f>AVERAGE(F24:F33)</f>
        <v>19.75</v>
      </c>
    </row>
    <row r="30" spans="1:8" x14ac:dyDescent="0.2">
      <c r="B30">
        <v>8</v>
      </c>
      <c r="C30">
        <v>4</v>
      </c>
      <c r="D30" s="2">
        <v>46</v>
      </c>
      <c r="E30" s="3">
        <v>25.22</v>
      </c>
      <c r="F30" s="2">
        <f t="shared" si="0"/>
        <v>20.78</v>
      </c>
    </row>
    <row r="31" spans="1:8" x14ac:dyDescent="0.2">
      <c r="B31">
        <v>8</v>
      </c>
      <c r="C31">
        <v>7</v>
      </c>
      <c r="D31" s="2">
        <v>46.2</v>
      </c>
      <c r="E31" s="3">
        <v>25.22</v>
      </c>
      <c r="F31" s="2">
        <f t="shared" si="0"/>
        <v>20.980000000000004</v>
      </c>
    </row>
    <row r="32" spans="1:8" x14ac:dyDescent="0.2">
      <c r="B32">
        <v>8</v>
      </c>
      <c r="C32">
        <v>9</v>
      </c>
      <c r="D32" s="2">
        <v>46.8</v>
      </c>
      <c r="E32" s="3">
        <v>25.22</v>
      </c>
      <c r="F32" s="2">
        <f t="shared" si="0"/>
        <v>21.58</v>
      </c>
    </row>
    <row r="33" spans="1:8" x14ac:dyDescent="0.2">
      <c r="B33">
        <v>8</v>
      </c>
      <c r="C33">
        <v>3</v>
      </c>
      <c r="D33" s="2">
        <v>49.2</v>
      </c>
      <c r="E33" s="3">
        <v>25.22</v>
      </c>
      <c r="F33" s="2">
        <f t="shared" si="0"/>
        <v>23.980000000000004</v>
      </c>
    </row>
    <row r="34" spans="1:8" ht="10" customHeight="1" x14ac:dyDescent="0.2">
      <c r="A34" s="28"/>
      <c r="B34" s="29"/>
      <c r="C34" s="29"/>
      <c r="D34" s="30"/>
      <c r="E34" s="31"/>
      <c r="F34" s="30"/>
      <c r="G34" s="30"/>
      <c r="H34" s="30"/>
    </row>
    <row r="35" spans="1:8" x14ac:dyDescent="0.2">
      <c r="B35">
        <v>12</v>
      </c>
      <c r="C35">
        <v>6</v>
      </c>
      <c r="D35" s="2">
        <v>47</v>
      </c>
      <c r="E35" s="3">
        <v>25.22</v>
      </c>
      <c r="F35" s="2">
        <f>SUM(D35-E35)</f>
        <v>21.78</v>
      </c>
    </row>
    <row r="36" spans="1:8" x14ac:dyDescent="0.2">
      <c r="B36">
        <v>12</v>
      </c>
      <c r="C36">
        <v>5</v>
      </c>
      <c r="D36" s="2">
        <v>51</v>
      </c>
      <c r="E36" s="3">
        <v>25.22</v>
      </c>
      <c r="F36" s="2">
        <f>SUM(D36-E36)</f>
        <v>25.78</v>
      </c>
    </row>
    <row r="37" spans="1:8" x14ac:dyDescent="0.2">
      <c r="B37">
        <v>12</v>
      </c>
      <c r="C37">
        <v>1</v>
      </c>
      <c r="D37" s="2">
        <v>52</v>
      </c>
      <c r="E37" s="3">
        <v>25.22</v>
      </c>
      <c r="F37" s="2">
        <f t="shared" si="0"/>
        <v>26.78</v>
      </c>
    </row>
    <row r="38" spans="1:8" x14ac:dyDescent="0.2">
      <c r="B38">
        <v>12</v>
      </c>
      <c r="C38">
        <v>8</v>
      </c>
      <c r="D38" s="2">
        <v>52</v>
      </c>
      <c r="E38" s="3">
        <v>25.22</v>
      </c>
      <c r="F38" s="2">
        <f>SUM(D38-E38)</f>
        <v>26.78</v>
      </c>
    </row>
    <row r="39" spans="1:8" x14ac:dyDescent="0.2">
      <c r="B39">
        <v>12</v>
      </c>
      <c r="C39">
        <v>7</v>
      </c>
      <c r="D39" s="2">
        <v>52</v>
      </c>
      <c r="E39" s="3">
        <v>25.22</v>
      </c>
      <c r="F39" s="2">
        <f>SUM(D39-E39)</f>
        <v>26.78</v>
      </c>
    </row>
    <row r="40" spans="1:8" x14ac:dyDescent="0.2">
      <c r="B40">
        <v>12</v>
      </c>
      <c r="C40">
        <v>2</v>
      </c>
      <c r="D40" s="2">
        <v>53</v>
      </c>
      <c r="E40" s="3">
        <v>25.22</v>
      </c>
      <c r="F40" s="2">
        <f t="shared" si="0"/>
        <v>27.78</v>
      </c>
      <c r="G40" s="2">
        <f>SUM(F40+F39)/2</f>
        <v>27.28</v>
      </c>
      <c r="H40" s="2">
        <f>AVERAGE(F35:F44)</f>
        <v>27.580000000000002</v>
      </c>
    </row>
    <row r="41" spans="1:8" x14ac:dyDescent="0.2">
      <c r="B41">
        <v>12</v>
      </c>
      <c r="C41">
        <v>9</v>
      </c>
      <c r="D41" s="2">
        <v>53</v>
      </c>
      <c r="E41" s="3">
        <v>25.22</v>
      </c>
      <c r="F41" s="2">
        <f>SUM(D41-E41)</f>
        <v>27.78</v>
      </c>
    </row>
    <row r="42" spans="1:8" x14ac:dyDescent="0.2">
      <c r="B42">
        <v>12</v>
      </c>
      <c r="C42">
        <v>4</v>
      </c>
      <c r="D42" s="2">
        <v>55</v>
      </c>
      <c r="E42" s="3">
        <v>25.22</v>
      </c>
      <c r="F42" s="2">
        <f t="shared" si="0"/>
        <v>29.78</v>
      </c>
    </row>
    <row r="43" spans="1:8" x14ac:dyDescent="0.2">
      <c r="B43">
        <v>12</v>
      </c>
      <c r="C43">
        <v>10</v>
      </c>
      <c r="D43" s="2">
        <v>55</v>
      </c>
      <c r="E43" s="3">
        <v>25.22</v>
      </c>
      <c r="F43" s="2">
        <f>SUM(D43-E43)</f>
        <v>29.78</v>
      </c>
    </row>
    <row r="44" spans="1:8" x14ac:dyDescent="0.2">
      <c r="B44">
        <v>12</v>
      </c>
      <c r="C44">
        <v>3</v>
      </c>
      <c r="D44" s="2">
        <v>58</v>
      </c>
      <c r="E44" s="3">
        <v>25.22</v>
      </c>
      <c r="F44" s="2">
        <f>SUM(D44-E44)</f>
        <v>32.78</v>
      </c>
    </row>
    <row r="45" spans="1:8" ht="10.5" customHeight="1" x14ac:dyDescent="0.2">
      <c r="A45" s="28"/>
      <c r="B45" s="29"/>
      <c r="C45" s="29"/>
      <c r="D45" s="30"/>
      <c r="E45" s="31"/>
      <c r="F45" s="30"/>
      <c r="G45" s="30"/>
      <c r="H45" s="30"/>
    </row>
    <row r="46" spans="1:8" x14ac:dyDescent="0.2">
      <c r="B46">
        <v>16</v>
      </c>
      <c r="C46">
        <v>6</v>
      </c>
      <c r="D46" s="2">
        <v>61</v>
      </c>
      <c r="E46" s="3">
        <v>25.22</v>
      </c>
      <c r="F46" s="2">
        <f t="shared" ref="F46:F88" si="1">SUM(D46-E46)</f>
        <v>35.78</v>
      </c>
    </row>
    <row r="47" spans="1:8" x14ac:dyDescent="0.2">
      <c r="B47">
        <v>16</v>
      </c>
      <c r="C47">
        <v>5</v>
      </c>
      <c r="D47" s="2">
        <v>62</v>
      </c>
      <c r="E47" s="3">
        <v>25.22</v>
      </c>
      <c r="F47" s="2">
        <f t="shared" si="1"/>
        <v>36.78</v>
      </c>
    </row>
    <row r="48" spans="1:8" x14ac:dyDescent="0.2">
      <c r="B48">
        <v>16</v>
      </c>
      <c r="C48">
        <v>1</v>
      </c>
      <c r="D48" s="2">
        <v>66</v>
      </c>
      <c r="E48" s="3">
        <v>25.22</v>
      </c>
      <c r="F48" s="2">
        <f t="shared" si="1"/>
        <v>40.78</v>
      </c>
    </row>
    <row r="49" spans="1:8" x14ac:dyDescent="0.2">
      <c r="B49">
        <v>16</v>
      </c>
      <c r="C49">
        <v>7</v>
      </c>
      <c r="D49" s="2">
        <v>66</v>
      </c>
      <c r="E49" s="3">
        <v>25.22</v>
      </c>
      <c r="F49" s="2">
        <f t="shared" si="1"/>
        <v>40.78</v>
      </c>
    </row>
    <row r="50" spans="1:8" x14ac:dyDescent="0.2">
      <c r="B50">
        <v>16</v>
      </c>
      <c r="C50">
        <v>9</v>
      </c>
      <c r="D50" s="2">
        <v>67</v>
      </c>
      <c r="E50" s="3">
        <v>25.22</v>
      </c>
      <c r="F50" s="2">
        <f t="shared" si="1"/>
        <v>41.78</v>
      </c>
    </row>
    <row r="51" spans="1:8" x14ac:dyDescent="0.2">
      <c r="B51">
        <v>16</v>
      </c>
      <c r="C51">
        <v>8</v>
      </c>
      <c r="D51" s="2">
        <v>68</v>
      </c>
      <c r="E51" s="3">
        <v>25.22</v>
      </c>
      <c r="F51" s="2">
        <f t="shared" si="1"/>
        <v>42.78</v>
      </c>
      <c r="G51" s="2">
        <f>SUM(F51+F50)/2</f>
        <v>42.28</v>
      </c>
      <c r="H51" s="2">
        <f>AVERAGE(F46:F55)</f>
        <v>42.98</v>
      </c>
    </row>
    <row r="52" spans="1:8" x14ac:dyDescent="0.2">
      <c r="B52">
        <v>16</v>
      </c>
      <c r="C52">
        <v>2</v>
      </c>
      <c r="D52" s="2">
        <v>71</v>
      </c>
      <c r="E52" s="3">
        <v>25.22</v>
      </c>
      <c r="F52" s="2">
        <f t="shared" si="1"/>
        <v>45.78</v>
      </c>
    </row>
    <row r="53" spans="1:8" x14ac:dyDescent="0.2">
      <c r="B53">
        <v>16</v>
      </c>
      <c r="C53">
        <v>3</v>
      </c>
      <c r="D53" s="2">
        <v>75</v>
      </c>
      <c r="E53" s="3">
        <v>25.22</v>
      </c>
      <c r="F53" s="2">
        <f t="shared" si="1"/>
        <v>49.78</v>
      </c>
    </row>
    <row r="54" spans="1:8" x14ac:dyDescent="0.2">
      <c r="B54">
        <v>16</v>
      </c>
      <c r="C54">
        <v>4</v>
      </c>
      <c r="D54" s="2">
        <v>76</v>
      </c>
      <c r="E54" s="3">
        <v>25.22</v>
      </c>
      <c r="F54" s="2">
        <f t="shared" si="1"/>
        <v>50.78</v>
      </c>
    </row>
    <row r="55" spans="1:8" x14ac:dyDescent="0.2">
      <c r="B55">
        <v>16</v>
      </c>
      <c r="C55">
        <v>10</v>
      </c>
      <c r="D55" s="2">
        <v>70</v>
      </c>
      <c r="E55" s="3">
        <v>25.22</v>
      </c>
      <c r="F55" s="2">
        <f t="shared" si="1"/>
        <v>44.78</v>
      </c>
    </row>
    <row r="56" spans="1:8" ht="8.5" customHeight="1" x14ac:dyDescent="0.2">
      <c r="A56" s="28"/>
      <c r="B56" s="29"/>
      <c r="C56" s="29"/>
      <c r="D56" s="30"/>
      <c r="E56" s="31"/>
      <c r="F56" s="30"/>
      <c r="G56" s="30"/>
      <c r="H56" s="30"/>
    </row>
    <row r="57" spans="1:8" x14ac:dyDescent="0.2">
      <c r="B57">
        <v>20</v>
      </c>
      <c r="C57">
        <v>5</v>
      </c>
      <c r="D57" s="2">
        <v>91</v>
      </c>
      <c r="E57" s="3">
        <v>25.22</v>
      </c>
      <c r="F57" s="2">
        <f>SUM(D57-E57)</f>
        <v>65.78</v>
      </c>
    </row>
    <row r="58" spans="1:8" x14ac:dyDescent="0.2">
      <c r="B58">
        <v>20</v>
      </c>
      <c r="C58">
        <v>6</v>
      </c>
      <c r="D58" s="2">
        <v>95</v>
      </c>
      <c r="E58" s="3">
        <v>25.22</v>
      </c>
      <c r="F58" s="2">
        <f>SUM(D58-E58)</f>
        <v>69.78</v>
      </c>
    </row>
    <row r="59" spans="1:8" x14ac:dyDescent="0.2">
      <c r="B59">
        <v>20</v>
      </c>
      <c r="C59">
        <v>7</v>
      </c>
      <c r="D59" s="2">
        <v>102</v>
      </c>
      <c r="E59" s="3">
        <v>25.22</v>
      </c>
      <c r="F59" s="2">
        <f>SUM(D59-E59)</f>
        <v>76.78</v>
      </c>
    </row>
    <row r="60" spans="1:8" x14ac:dyDescent="0.2">
      <c r="B60">
        <v>20</v>
      </c>
      <c r="C60">
        <v>8</v>
      </c>
      <c r="D60" s="2">
        <v>104</v>
      </c>
      <c r="E60" s="3">
        <v>25.22</v>
      </c>
      <c r="F60" s="2">
        <f>SUM(D60-E60)</f>
        <v>78.78</v>
      </c>
    </row>
    <row r="61" spans="1:8" x14ac:dyDescent="0.2">
      <c r="B61">
        <v>20</v>
      </c>
      <c r="C61">
        <v>1</v>
      </c>
      <c r="D61" s="2">
        <v>104</v>
      </c>
      <c r="E61" s="3">
        <v>25.22</v>
      </c>
      <c r="F61" s="2">
        <f t="shared" si="1"/>
        <v>78.78</v>
      </c>
    </row>
    <row r="62" spans="1:8" x14ac:dyDescent="0.2">
      <c r="B62">
        <v>20</v>
      </c>
      <c r="C62">
        <v>10</v>
      </c>
      <c r="D62" s="2">
        <v>108</v>
      </c>
      <c r="E62" s="3">
        <v>25.22</v>
      </c>
      <c r="F62" s="2">
        <f>SUM(D62-E62)</f>
        <v>82.78</v>
      </c>
      <c r="G62" s="2">
        <f>SUM(F62+F61)/2</f>
        <v>80.78</v>
      </c>
      <c r="H62" s="2">
        <f>AVERAGE(F57:F66)</f>
        <v>81.179999999999978</v>
      </c>
    </row>
    <row r="63" spans="1:8" x14ac:dyDescent="0.2">
      <c r="B63">
        <v>20</v>
      </c>
      <c r="C63">
        <v>9</v>
      </c>
      <c r="D63" s="2">
        <v>109</v>
      </c>
      <c r="E63" s="3">
        <v>25.22</v>
      </c>
      <c r="F63" s="2">
        <f>SUM(D63-E63)</f>
        <v>83.78</v>
      </c>
    </row>
    <row r="64" spans="1:8" x14ac:dyDescent="0.2">
      <c r="B64">
        <v>20</v>
      </c>
      <c r="C64">
        <v>2</v>
      </c>
      <c r="D64" s="2">
        <v>115</v>
      </c>
      <c r="E64" s="3">
        <v>25.22</v>
      </c>
      <c r="F64" s="2">
        <f t="shared" si="1"/>
        <v>89.78</v>
      </c>
    </row>
    <row r="65" spans="1:8" x14ac:dyDescent="0.2">
      <c r="B65">
        <v>20</v>
      </c>
      <c r="C65">
        <v>4</v>
      </c>
      <c r="D65" s="2">
        <v>117</v>
      </c>
      <c r="E65" s="3">
        <v>25.22</v>
      </c>
      <c r="F65" s="2">
        <f>SUM(D65-E65)</f>
        <v>91.78</v>
      </c>
    </row>
    <row r="66" spans="1:8" x14ac:dyDescent="0.2">
      <c r="B66">
        <v>20</v>
      </c>
      <c r="C66">
        <v>3</v>
      </c>
      <c r="D66" s="2">
        <v>119</v>
      </c>
      <c r="E66" s="3">
        <v>25.22</v>
      </c>
      <c r="F66" s="2">
        <f t="shared" si="1"/>
        <v>93.78</v>
      </c>
    </row>
    <row r="67" spans="1:8" ht="8.5" customHeight="1" x14ac:dyDescent="0.2">
      <c r="A67" s="28"/>
      <c r="B67" s="29"/>
      <c r="C67" s="29"/>
      <c r="D67" s="30"/>
      <c r="E67" s="31"/>
      <c r="F67" s="30"/>
      <c r="G67" s="30"/>
      <c r="H67" s="30"/>
    </row>
    <row r="68" spans="1:8" x14ac:dyDescent="0.2">
      <c r="B68">
        <v>24</v>
      </c>
      <c r="C68">
        <v>5</v>
      </c>
      <c r="D68" s="2">
        <v>149</v>
      </c>
      <c r="E68" s="3">
        <v>25.22</v>
      </c>
      <c r="F68" s="2">
        <f>SUM(D68-E68)</f>
        <v>123.78</v>
      </c>
    </row>
    <row r="69" spans="1:8" x14ac:dyDescent="0.2">
      <c r="B69">
        <v>24</v>
      </c>
      <c r="C69">
        <v>6</v>
      </c>
      <c r="D69" s="2">
        <v>151</v>
      </c>
      <c r="E69" s="3">
        <v>25.22</v>
      </c>
      <c r="F69" s="2">
        <f>SUM(D69-E69)</f>
        <v>125.78</v>
      </c>
    </row>
    <row r="70" spans="1:8" x14ac:dyDescent="0.2">
      <c r="B70">
        <v>24</v>
      </c>
      <c r="C70">
        <v>7</v>
      </c>
      <c r="D70" s="2">
        <v>161</v>
      </c>
      <c r="E70" s="3">
        <v>25.22</v>
      </c>
      <c r="F70" s="2">
        <f>SUM(D70-E70)</f>
        <v>135.78</v>
      </c>
    </row>
    <row r="71" spans="1:8" x14ac:dyDescent="0.2">
      <c r="B71">
        <v>24</v>
      </c>
      <c r="C71">
        <v>1</v>
      </c>
      <c r="D71" s="2">
        <v>161</v>
      </c>
      <c r="E71" s="3">
        <v>25.22</v>
      </c>
      <c r="F71" s="2">
        <f t="shared" si="1"/>
        <v>135.78</v>
      </c>
    </row>
    <row r="72" spans="1:8" x14ac:dyDescent="0.2">
      <c r="B72">
        <v>24</v>
      </c>
      <c r="C72">
        <v>8</v>
      </c>
      <c r="D72" s="2">
        <v>163</v>
      </c>
      <c r="E72" s="3">
        <v>25.22</v>
      </c>
      <c r="F72" s="2">
        <f>SUM(D72-E72)</f>
        <v>137.78</v>
      </c>
      <c r="G72" s="2" t="s">
        <v>41</v>
      </c>
    </row>
    <row r="73" spans="1:8" x14ac:dyDescent="0.2">
      <c r="B73">
        <v>24</v>
      </c>
      <c r="C73">
        <v>4</v>
      </c>
      <c r="D73" s="2">
        <v>166</v>
      </c>
      <c r="E73" s="3">
        <v>25.22</v>
      </c>
      <c r="F73" s="2">
        <f>SUM(D73-E73)</f>
        <v>140.78</v>
      </c>
      <c r="G73" s="2">
        <f>SUM(F73+F72)/2</f>
        <v>139.28</v>
      </c>
      <c r="H73" s="2">
        <f>AVERAGE(F68:F77)</f>
        <v>140.57999999999998</v>
      </c>
    </row>
    <row r="74" spans="1:8" x14ac:dyDescent="0.2">
      <c r="B74">
        <v>24</v>
      </c>
      <c r="C74">
        <v>10</v>
      </c>
      <c r="D74" s="2">
        <v>167</v>
      </c>
      <c r="E74" s="3">
        <v>25.22</v>
      </c>
      <c r="F74" s="2">
        <f>SUM(D74-E74)</f>
        <v>141.78</v>
      </c>
    </row>
    <row r="75" spans="1:8" x14ac:dyDescent="0.2">
      <c r="B75">
        <v>24</v>
      </c>
      <c r="C75">
        <v>9</v>
      </c>
      <c r="D75" s="2">
        <v>178</v>
      </c>
      <c r="E75" s="3">
        <v>25.22</v>
      </c>
      <c r="F75" s="2">
        <f>SUM(D75-E75)</f>
        <v>152.78</v>
      </c>
    </row>
    <row r="76" spans="1:8" x14ac:dyDescent="0.2">
      <c r="B76">
        <v>24</v>
      </c>
      <c r="C76">
        <v>2</v>
      </c>
      <c r="D76" s="2">
        <v>179</v>
      </c>
      <c r="E76" s="3">
        <v>25.22</v>
      </c>
      <c r="F76" s="2">
        <f t="shared" si="1"/>
        <v>153.78</v>
      </c>
    </row>
    <row r="77" spans="1:8" x14ac:dyDescent="0.2">
      <c r="B77">
        <v>24</v>
      </c>
      <c r="C77">
        <v>3</v>
      </c>
      <c r="D77" s="2">
        <v>183</v>
      </c>
      <c r="E77" s="3">
        <v>25.22</v>
      </c>
      <c r="F77" s="2">
        <f t="shared" si="1"/>
        <v>157.78</v>
      </c>
    </row>
    <row r="78" spans="1:8" ht="10.5" customHeight="1" x14ac:dyDescent="0.2">
      <c r="A78" s="28"/>
      <c r="B78" s="29"/>
      <c r="C78" s="29"/>
      <c r="D78" s="30"/>
      <c r="E78" s="31"/>
      <c r="F78" s="30"/>
      <c r="G78" s="30"/>
      <c r="H78" s="30"/>
    </row>
    <row r="79" spans="1:8" x14ac:dyDescent="0.2">
      <c r="B79">
        <v>28</v>
      </c>
      <c r="C79">
        <v>5</v>
      </c>
      <c r="D79" s="2">
        <v>211</v>
      </c>
      <c r="E79" s="3">
        <v>25.22</v>
      </c>
      <c r="F79" s="2">
        <f>SUM(D79-E79)</f>
        <v>185.78</v>
      </c>
    </row>
    <row r="80" spans="1:8" x14ac:dyDescent="0.2">
      <c r="B80">
        <v>28</v>
      </c>
      <c r="C80">
        <v>6</v>
      </c>
      <c r="D80" s="2">
        <v>221</v>
      </c>
      <c r="E80" s="3">
        <v>25.22</v>
      </c>
      <c r="F80" s="2">
        <f>SUM(D80-E80)</f>
        <v>195.78</v>
      </c>
    </row>
    <row r="81" spans="1:8" x14ac:dyDescent="0.2">
      <c r="B81">
        <v>28</v>
      </c>
      <c r="C81">
        <v>1</v>
      </c>
      <c r="D81" s="2">
        <v>239</v>
      </c>
      <c r="E81" s="3">
        <v>25.22</v>
      </c>
      <c r="F81" s="2">
        <f t="shared" si="1"/>
        <v>213.78</v>
      </c>
    </row>
    <row r="82" spans="1:8" x14ac:dyDescent="0.2">
      <c r="B82">
        <v>28</v>
      </c>
      <c r="C82">
        <v>8</v>
      </c>
      <c r="D82" s="2">
        <v>240</v>
      </c>
      <c r="E82" s="3">
        <v>25.22</v>
      </c>
      <c r="F82" s="2">
        <f>SUM(D82-E82)</f>
        <v>214.78</v>
      </c>
    </row>
    <row r="83" spans="1:8" x14ac:dyDescent="0.2">
      <c r="B83">
        <v>28</v>
      </c>
      <c r="C83">
        <v>7</v>
      </c>
      <c r="D83" s="2">
        <v>244</v>
      </c>
      <c r="E83" s="3">
        <v>25.22</v>
      </c>
      <c r="F83" s="2">
        <f>SUM(D83-E83)</f>
        <v>218.78</v>
      </c>
    </row>
    <row r="84" spans="1:8" x14ac:dyDescent="0.2">
      <c r="B84">
        <v>28</v>
      </c>
      <c r="C84">
        <v>10</v>
      </c>
      <c r="D84" s="2">
        <v>246</v>
      </c>
      <c r="E84" s="3">
        <v>25.22</v>
      </c>
      <c r="F84" s="2">
        <f>SUM(D84-E84)</f>
        <v>220.78</v>
      </c>
      <c r="G84" s="2">
        <f>SUM(F84+F83)/2</f>
        <v>219.78</v>
      </c>
      <c r="H84" s="2">
        <f>AVERAGE(F79:F88)</f>
        <v>214.38000000000002</v>
      </c>
    </row>
    <row r="85" spans="1:8" x14ac:dyDescent="0.2">
      <c r="B85">
        <v>28</v>
      </c>
      <c r="C85">
        <v>4</v>
      </c>
      <c r="D85" s="2">
        <v>246</v>
      </c>
      <c r="E85" s="3">
        <v>25.22</v>
      </c>
      <c r="F85" s="2">
        <f>SUM(D85-E85)</f>
        <v>220.78</v>
      </c>
    </row>
    <row r="86" spans="1:8" x14ac:dyDescent="0.2">
      <c r="B86">
        <v>28</v>
      </c>
      <c r="C86">
        <v>9</v>
      </c>
      <c r="D86" s="2">
        <v>248</v>
      </c>
      <c r="E86" s="3">
        <v>25.22</v>
      </c>
      <c r="F86" s="2">
        <f>SUM(D86-E86)</f>
        <v>222.78</v>
      </c>
    </row>
    <row r="87" spans="1:8" x14ac:dyDescent="0.2">
      <c r="B87">
        <v>28</v>
      </c>
      <c r="C87">
        <v>2</v>
      </c>
      <c r="D87" s="2">
        <v>243</v>
      </c>
      <c r="E87" s="3">
        <v>25.22</v>
      </c>
      <c r="F87" s="2">
        <f t="shared" si="1"/>
        <v>217.78</v>
      </c>
    </row>
    <row r="88" spans="1:8" x14ac:dyDescent="0.2">
      <c r="B88">
        <v>28</v>
      </c>
      <c r="C88">
        <v>3</v>
      </c>
      <c r="D88" s="2">
        <v>258</v>
      </c>
      <c r="E88" s="3">
        <v>25.22</v>
      </c>
      <c r="F88" s="2">
        <f t="shared" si="1"/>
        <v>232.78</v>
      </c>
    </row>
    <row r="89" spans="1:8" ht="9" customHeight="1" x14ac:dyDescent="0.2">
      <c r="A89" s="28"/>
      <c r="B89" s="29"/>
      <c r="C89" s="29"/>
      <c r="D89" s="30"/>
      <c r="E89" s="31"/>
      <c r="F89" s="30"/>
      <c r="G89" s="30"/>
      <c r="H89" s="30"/>
    </row>
    <row r="90" spans="1:8" x14ac:dyDescent="0.2">
      <c r="A90"/>
      <c r="D90"/>
      <c r="E90"/>
      <c r="F90"/>
      <c r="G90"/>
    </row>
    <row r="91" spans="1:8" x14ac:dyDescent="0.2">
      <c r="A91"/>
      <c r="D91"/>
      <c r="E91"/>
      <c r="F91"/>
      <c r="G91"/>
    </row>
    <row r="92" spans="1:8" x14ac:dyDescent="0.2">
      <c r="A92"/>
      <c r="D92"/>
      <c r="E92"/>
      <c r="F92"/>
      <c r="G92"/>
    </row>
    <row r="93" spans="1:8" x14ac:dyDescent="0.2">
      <c r="A93"/>
      <c r="D93"/>
      <c r="E93"/>
      <c r="F93"/>
      <c r="G93"/>
    </row>
    <row r="94" spans="1:8" x14ac:dyDescent="0.2">
      <c r="A94"/>
      <c r="D94"/>
      <c r="E94"/>
      <c r="F94"/>
      <c r="G94"/>
    </row>
    <row r="95" spans="1:8" x14ac:dyDescent="0.2">
      <c r="A95"/>
      <c r="D95"/>
      <c r="E95"/>
      <c r="F95"/>
      <c r="G95"/>
    </row>
    <row r="96" spans="1:8" x14ac:dyDescent="0.2">
      <c r="A96"/>
      <c r="D96"/>
      <c r="E96"/>
      <c r="F96"/>
      <c r="G96"/>
    </row>
    <row r="97" spans="1:7" x14ac:dyDescent="0.2">
      <c r="A97"/>
      <c r="D97"/>
      <c r="E97"/>
      <c r="F97"/>
      <c r="G97"/>
    </row>
    <row r="110" spans="1:7" ht="12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selection activeCell="C38" sqref="C38"/>
    </sheetView>
  </sheetViews>
  <sheetFormatPr baseColWidth="10" defaultColWidth="8.83203125" defaultRowHeight="15" x14ac:dyDescent="0.2"/>
  <cols>
    <col min="1" max="1" width="12" bestFit="1" customWidth="1"/>
    <col min="2" max="2" width="16.1640625" style="2" bestFit="1" customWidth="1"/>
    <col min="3" max="3" width="22.33203125" style="2" bestFit="1" customWidth="1"/>
    <col min="4" max="4" width="17.83203125" style="2" bestFit="1" customWidth="1"/>
  </cols>
  <sheetData>
    <row r="1" spans="1:9" x14ac:dyDescent="0.2">
      <c r="A1" s="4" t="s">
        <v>12</v>
      </c>
      <c r="B1" s="5" t="s">
        <v>2</v>
      </c>
      <c r="C1" s="5" t="s">
        <v>3</v>
      </c>
      <c r="D1" s="5" t="s">
        <v>4</v>
      </c>
    </row>
    <row r="2" spans="1:9" x14ac:dyDescent="0.2">
      <c r="A2">
        <v>0</v>
      </c>
      <c r="B2" s="2">
        <v>3.5</v>
      </c>
      <c r="C2" s="2">
        <v>3</v>
      </c>
      <c r="D2" s="2">
        <v>4</v>
      </c>
    </row>
    <row r="3" spans="1:9" x14ac:dyDescent="0.2">
      <c r="A3">
        <v>4</v>
      </c>
      <c r="B3" s="2">
        <v>8.8000000000000007</v>
      </c>
      <c r="C3" s="2">
        <v>7.5</v>
      </c>
      <c r="D3" s="2">
        <v>10.1</v>
      </c>
    </row>
    <row r="4" spans="1:9" x14ac:dyDescent="0.2">
      <c r="A4">
        <v>8</v>
      </c>
      <c r="B4" s="2">
        <v>22.2</v>
      </c>
      <c r="C4" s="2">
        <v>18.899999999999999</v>
      </c>
      <c r="D4" s="2">
        <v>25.5</v>
      </c>
    </row>
    <row r="5" spans="1:9" x14ac:dyDescent="0.2">
      <c r="A5">
        <v>12</v>
      </c>
      <c r="B5" s="2">
        <v>56</v>
      </c>
      <c r="C5" s="2">
        <v>47.6</v>
      </c>
      <c r="D5" s="2">
        <v>64.400000000000006</v>
      </c>
    </row>
    <row r="6" spans="1:9" x14ac:dyDescent="0.2">
      <c r="A6">
        <v>16</v>
      </c>
      <c r="B6" s="2">
        <v>98.8</v>
      </c>
      <c r="C6" s="2">
        <v>88.9</v>
      </c>
      <c r="D6" s="2">
        <v>108.6</v>
      </c>
    </row>
    <row r="7" spans="1:9" x14ac:dyDescent="0.2">
      <c r="A7">
        <v>20</v>
      </c>
      <c r="B7" s="2">
        <v>141.5</v>
      </c>
      <c r="C7" s="2">
        <v>127.4</v>
      </c>
      <c r="D7" s="2">
        <v>155.69999999999999</v>
      </c>
    </row>
    <row r="8" spans="1:9" x14ac:dyDescent="0.2">
      <c r="A8">
        <v>24</v>
      </c>
      <c r="B8" s="2">
        <v>184.3</v>
      </c>
      <c r="C8" s="2">
        <v>165.8</v>
      </c>
      <c r="D8" s="2">
        <v>202.7</v>
      </c>
    </row>
    <row r="9" spans="1:9" x14ac:dyDescent="0.2">
      <c r="A9">
        <v>28</v>
      </c>
      <c r="B9" s="2">
        <v>227</v>
      </c>
      <c r="C9" s="2">
        <v>211.1</v>
      </c>
      <c r="D9" s="2">
        <v>242.9</v>
      </c>
    </row>
    <row r="12" spans="1:9" x14ac:dyDescent="0.2">
      <c r="A12" s="2"/>
      <c r="B12"/>
      <c r="C12"/>
      <c r="D12"/>
    </row>
    <row r="13" spans="1:9" x14ac:dyDescent="0.2">
      <c r="A13" s="2"/>
      <c r="B13"/>
      <c r="C13"/>
      <c r="D13"/>
      <c r="I13">
        <v>219</v>
      </c>
    </row>
    <row r="14" spans="1:9" x14ac:dyDescent="0.2">
      <c r="A14" s="2"/>
      <c r="B14"/>
      <c r="C14"/>
      <c r="D14"/>
    </row>
    <row r="15" spans="1:9" x14ac:dyDescent="0.2">
      <c r="A15" s="2"/>
      <c r="B15"/>
      <c r="C15"/>
      <c r="D15"/>
    </row>
    <row r="16" spans="1:9" x14ac:dyDescent="0.2">
      <c r="A16" s="2"/>
      <c r="B16"/>
      <c r="C16"/>
      <c r="D16"/>
    </row>
    <row r="17" spans="1:5" x14ac:dyDescent="0.2">
      <c r="A17" s="2"/>
      <c r="B17"/>
      <c r="C17"/>
      <c r="D17"/>
    </row>
    <row r="18" spans="1:5" x14ac:dyDescent="0.2">
      <c r="A18" s="2"/>
      <c r="B18"/>
      <c r="C18"/>
      <c r="D18"/>
    </row>
    <row r="19" spans="1:5" x14ac:dyDescent="0.2">
      <c r="A19" s="2"/>
      <c r="B19"/>
      <c r="C19"/>
      <c r="D19"/>
    </row>
    <row r="20" spans="1:5" x14ac:dyDescent="0.2">
      <c r="A20" s="2"/>
      <c r="B20"/>
      <c r="C20"/>
      <c r="D20"/>
    </row>
    <row r="21" spans="1:5" x14ac:dyDescent="0.2">
      <c r="A21" s="2"/>
      <c r="B21"/>
      <c r="C21"/>
      <c r="D21"/>
    </row>
    <row r="26" spans="1:5" ht="16" thickBot="1" x14ac:dyDescent="0.25"/>
    <row r="27" spans="1:5" ht="16" thickBot="1" x14ac:dyDescent="0.25">
      <c r="A27" s="13" t="s">
        <v>0</v>
      </c>
      <c r="B27" s="14" t="s">
        <v>1</v>
      </c>
      <c r="C27" s="14" t="s">
        <v>10</v>
      </c>
      <c r="D27" s="15" t="s">
        <v>11</v>
      </c>
    </row>
    <row r="28" spans="1:5" x14ac:dyDescent="0.2">
      <c r="A28" s="7"/>
      <c r="B28" s="6">
        <v>0</v>
      </c>
      <c r="C28" s="2">
        <v>4.7</v>
      </c>
      <c r="D28" s="8">
        <v>3.5</v>
      </c>
    </row>
    <row r="29" spans="1:5" x14ac:dyDescent="0.2">
      <c r="A29" s="7"/>
      <c r="B29" s="6">
        <v>4</v>
      </c>
      <c r="C29" s="2">
        <v>13.1</v>
      </c>
      <c r="D29" s="8">
        <v>8.8000000000000007</v>
      </c>
    </row>
    <row r="30" spans="1:5" x14ac:dyDescent="0.2">
      <c r="A30" s="7"/>
      <c r="B30" s="6">
        <v>8</v>
      </c>
      <c r="C30" s="2">
        <v>19.8</v>
      </c>
      <c r="D30" s="8">
        <v>22.2</v>
      </c>
    </row>
    <row r="31" spans="1:5" x14ac:dyDescent="0.2">
      <c r="A31" s="7"/>
      <c r="B31" s="6">
        <v>12</v>
      </c>
      <c r="C31" s="2">
        <v>27.3</v>
      </c>
      <c r="D31" s="8">
        <v>56</v>
      </c>
      <c r="E31" t="s">
        <v>42</v>
      </c>
    </row>
    <row r="32" spans="1:5" x14ac:dyDescent="0.2">
      <c r="A32" s="7"/>
      <c r="B32" s="6">
        <v>16</v>
      </c>
      <c r="C32" s="2">
        <v>42.3</v>
      </c>
      <c r="D32" s="8">
        <v>98.8</v>
      </c>
    </row>
    <row r="33" spans="1:4" x14ac:dyDescent="0.2">
      <c r="A33" s="7"/>
      <c r="B33" s="6">
        <v>20</v>
      </c>
      <c r="C33" s="2">
        <v>80.8</v>
      </c>
      <c r="D33" s="8">
        <v>141.5</v>
      </c>
    </row>
    <row r="34" spans="1:4" x14ac:dyDescent="0.2">
      <c r="A34" s="7"/>
      <c r="B34" s="6">
        <v>24</v>
      </c>
      <c r="C34" s="2">
        <v>139.30000000000001</v>
      </c>
      <c r="D34" s="8">
        <v>184.3</v>
      </c>
    </row>
    <row r="35" spans="1:4" ht="16" thickBot="1" x14ac:dyDescent="0.25">
      <c r="A35" s="9"/>
      <c r="B35" s="10">
        <v>28</v>
      </c>
      <c r="C35" s="11">
        <v>219.8</v>
      </c>
      <c r="D35" s="12">
        <v>227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12.6640625" style="1" customWidth="1"/>
    <col min="2" max="2" width="6.6640625" customWidth="1"/>
    <col min="3" max="3" width="23.5" bestFit="1" customWidth="1"/>
    <col min="4" max="4" width="16" style="2" bestFit="1" customWidth="1"/>
    <col min="5" max="5" width="14.6640625" style="2" customWidth="1"/>
    <col min="6" max="6" width="10.6640625" customWidth="1"/>
    <col min="7" max="7" width="14.83203125" style="3" bestFit="1" customWidth="1"/>
    <col min="8" max="8" width="15.5" style="3" bestFit="1" customWidth="1"/>
    <col min="9" max="9" width="14.6640625" style="3" bestFit="1" customWidth="1"/>
    <col min="10" max="10" width="17.6640625" style="3" bestFit="1" customWidth="1"/>
    <col min="11" max="11" width="40.6640625" customWidth="1"/>
  </cols>
  <sheetData>
    <row r="1" spans="1:10" ht="16" thickBot="1" x14ac:dyDescent="0.25">
      <c r="A1" s="24" t="s">
        <v>0</v>
      </c>
      <c r="B1" s="25" t="s">
        <v>1</v>
      </c>
      <c r="C1" s="25" t="s">
        <v>13</v>
      </c>
      <c r="D1" s="25" t="s">
        <v>21</v>
      </c>
      <c r="E1" s="14" t="s">
        <v>22</v>
      </c>
      <c r="F1" s="25" t="s">
        <v>5</v>
      </c>
      <c r="G1" s="26" t="s">
        <v>26</v>
      </c>
      <c r="H1" s="26" t="s">
        <v>23</v>
      </c>
      <c r="I1" s="27" t="s">
        <v>30</v>
      </c>
      <c r="J1"/>
    </row>
    <row r="2" spans="1:10" x14ac:dyDescent="0.2">
      <c r="A2" s="16"/>
      <c r="B2" s="4"/>
      <c r="C2" t="s">
        <v>24</v>
      </c>
      <c r="D2">
        <v>3.5</v>
      </c>
      <c r="E2" s="2">
        <v>4.7</v>
      </c>
      <c r="F2" t="s">
        <v>25</v>
      </c>
      <c r="G2" s="3" t="s">
        <v>28</v>
      </c>
      <c r="H2" s="17"/>
      <c r="I2" s="18" t="s">
        <v>32</v>
      </c>
      <c r="J2"/>
    </row>
    <row r="3" spans="1:10" x14ac:dyDescent="0.2">
      <c r="A3" s="19"/>
      <c r="C3" t="s">
        <v>14</v>
      </c>
      <c r="D3" s="2">
        <v>8.8000000000000007</v>
      </c>
      <c r="E3" s="2">
        <v>13.1</v>
      </c>
      <c r="F3" t="s">
        <v>25</v>
      </c>
      <c r="G3" s="3" t="s">
        <v>28</v>
      </c>
      <c r="I3" s="18"/>
      <c r="J3"/>
    </row>
    <row r="4" spans="1:10" x14ac:dyDescent="0.2">
      <c r="A4" s="19"/>
      <c r="C4" t="s">
        <v>15</v>
      </c>
      <c r="D4" s="2">
        <v>22.2</v>
      </c>
      <c r="E4" s="2">
        <v>19.8</v>
      </c>
      <c r="F4" t="s">
        <v>29</v>
      </c>
      <c r="G4" s="3" t="s">
        <v>28</v>
      </c>
      <c r="H4" s="3" t="s">
        <v>27</v>
      </c>
      <c r="I4" s="18" t="s">
        <v>31</v>
      </c>
      <c r="J4"/>
    </row>
    <row r="5" spans="1:10" x14ac:dyDescent="0.2">
      <c r="A5" s="19"/>
      <c r="C5" t="s">
        <v>16</v>
      </c>
      <c r="D5" s="2">
        <v>56</v>
      </c>
      <c r="E5" s="2">
        <v>27.3</v>
      </c>
      <c r="F5" t="s">
        <v>29</v>
      </c>
      <c r="G5" s="3" t="s">
        <v>38</v>
      </c>
      <c r="H5" s="3" t="s">
        <v>39</v>
      </c>
      <c r="I5" s="18" t="s">
        <v>31</v>
      </c>
      <c r="J5"/>
    </row>
    <row r="6" spans="1:10" x14ac:dyDescent="0.2">
      <c r="A6" s="19"/>
      <c r="C6" t="s">
        <v>17</v>
      </c>
      <c r="D6" s="2">
        <v>98.8</v>
      </c>
      <c r="E6" s="2">
        <v>42.3</v>
      </c>
      <c r="F6" t="s">
        <v>29</v>
      </c>
      <c r="G6" s="3" t="s">
        <v>39</v>
      </c>
      <c r="I6" s="18"/>
      <c r="J6"/>
    </row>
    <row r="7" spans="1:10" x14ac:dyDescent="0.2">
      <c r="A7" s="19"/>
      <c r="C7" t="s">
        <v>18</v>
      </c>
      <c r="D7" s="2">
        <v>141.5</v>
      </c>
      <c r="E7" s="2">
        <v>80.8</v>
      </c>
      <c r="F7" t="s">
        <v>29</v>
      </c>
      <c r="G7" s="3" t="s">
        <v>39</v>
      </c>
      <c r="I7" s="18"/>
      <c r="J7"/>
    </row>
    <row r="8" spans="1:10" x14ac:dyDescent="0.2">
      <c r="A8" s="19"/>
      <c r="C8" t="s">
        <v>19</v>
      </c>
      <c r="D8" s="2">
        <v>184.3</v>
      </c>
      <c r="E8" s="2">
        <v>139.30000000000001</v>
      </c>
      <c r="F8" t="s">
        <v>29</v>
      </c>
      <c r="G8" s="3" t="s">
        <v>43</v>
      </c>
      <c r="I8" s="18"/>
      <c r="J8"/>
    </row>
    <row r="9" spans="1:10" ht="16" thickBot="1" x14ac:dyDescent="0.25">
      <c r="A9" s="20"/>
      <c r="B9" s="21"/>
      <c r="C9" s="21" t="s">
        <v>20</v>
      </c>
      <c r="D9" s="11">
        <v>227</v>
      </c>
      <c r="E9" s="11">
        <v>219.8</v>
      </c>
      <c r="F9" s="21" t="s">
        <v>44</v>
      </c>
      <c r="G9" s="22" t="s">
        <v>43</v>
      </c>
      <c r="H9" s="22"/>
      <c r="I9" s="23"/>
      <c r="J9"/>
    </row>
    <row r="10" spans="1:10" x14ac:dyDescent="0.2">
      <c r="J10"/>
    </row>
    <row r="14" spans="1:10" x14ac:dyDescent="0.2">
      <c r="A14" s="3"/>
      <c r="D14"/>
      <c r="E14"/>
      <c r="G14"/>
      <c r="H14"/>
      <c r="I14"/>
      <c r="J14"/>
    </row>
    <row r="15" spans="1:10" x14ac:dyDescent="0.2">
      <c r="A15" s="3"/>
      <c r="D15"/>
      <c r="E15"/>
      <c r="G15"/>
      <c r="H15"/>
      <c r="I15"/>
      <c r="J15"/>
    </row>
    <row r="16" spans="1:10" x14ac:dyDescent="0.2">
      <c r="A16" s="3"/>
      <c r="D16"/>
      <c r="E16"/>
      <c r="G16"/>
      <c r="H16"/>
      <c r="I16"/>
      <c r="J16"/>
    </row>
    <row r="17" spans="1:10" x14ac:dyDescent="0.2">
      <c r="A17" s="3"/>
      <c r="D17"/>
      <c r="E17"/>
      <c r="G17"/>
      <c r="H17"/>
      <c r="I17"/>
      <c r="J17"/>
    </row>
    <row r="18" spans="1:10" x14ac:dyDescent="0.2">
      <c r="A18" s="3"/>
      <c r="D18"/>
      <c r="E18"/>
      <c r="G18"/>
      <c r="H18"/>
      <c r="I18"/>
      <c r="J18"/>
    </row>
    <row r="19" spans="1:10" x14ac:dyDescent="0.2">
      <c r="A19" s="3"/>
      <c r="D19"/>
      <c r="E19"/>
      <c r="G19"/>
      <c r="H19"/>
      <c r="I19"/>
      <c r="J19"/>
    </row>
    <row r="20" spans="1:10" x14ac:dyDescent="0.2">
      <c r="A20" s="3"/>
      <c r="D20"/>
      <c r="E20"/>
      <c r="G20"/>
      <c r="H20"/>
      <c r="I20"/>
      <c r="J20"/>
    </row>
    <row r="21" spans="1:10" x14ac:dyDescent="0.2">
      <c r="A21" s="3"/>
      <c r="D21"/>
      <c r="E21"/>
      <c r="G21"/>
      <c r="H21"/>
      <c r="I21"/>
      <c r="J21"/>
    </row>
    <row r="22" spans="1:10" x14ac:dyDescent="0.2">
      <c r="A22" s="3"/>
      <c r="D22"/>
      <c r="E22"/>
      <c r="G22"/>
      <c r="H22"/>
      <c r="I22"/>
      <c r="J22"/>
    </row>
    <row r="23" spans="1:10" x14ac:dyDescent="0.2">
      <c r="A23" s="3"/>
      <c r="D23"/>
      <c r="E23"/>
      <c r="G23"/>
      <c r="H23"/>
      <c r="I23"/>
      <c r="J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baseColWidth="10" defaultColWidth="8.83203125" defaultRowHeight="15" x14ac:dyDescent="0.2"/>
  <cols>
    <col min="1" max="7" width="16.6640625" style="2" customWidth="1"/>
  </cols>
  <sheetData>
    <row r="1" spans="1:7" x14ac:dyDescent="0.2">
      <c r="A1" s="4" t="s">
        <v>1</v>
      </c>
      <c r="B1" s="4" t="s">
        <v>6</v>
      </c>
      <c r="C1" s="4" t="s">
        <v>7</v>
      </c>
      <c r="D1" s="4" t="s">
        <v>8</v>
      </c>
      <c r="E1" s="4" t="s">
        <v>3</v>
      </c>
      <c r="F1" s="4" t="s">
        <v>4</v>
      </c>
      <c r="G1" s="4" t="s">
        <v>9</v>
      </c>
    </row>
    <row r="2" spans="1:7" x14ac:dyDescent="0.2">
      <c r="A2" s="2">
        <v>0</v>
      </c>
      <c r="B2" s="2" t="e">
        <f>MEDIAN(IF($B$3:$B$92=0,$F$3:$F$92))</f>
        <v>#VALUE!</v>
      </c>
      <c r="C2" s="2" t="e">
        <f>MIN(IF($B$3:$B$92=0,$F$3:$F$92))</f>
        <v>#VALUE!</v>
      </c>
      <c r="D2" s="2" t="e">
        <f>MAX(IF($B$3:$B$92=0,$F$3:$F$92))</f>
        <v>#VALUE!</v>
      </c>
      <c r="E2" s="2" cm="1">
        <f t="array" ref="E2">_xlfn.XLOOKUP(A2,Targets!A:A,Targets!C:C,"")</f>
        <v>3</v>
      </c>
      <c r="F2" s="2" cm="1">
        <f t="array" ref="F2">_xlfn.XLOOKUP(A2,Targets!A:A,Targets!D:D,"")</f>
        <v>4</v>
      </c>
      <c r="G2" s="2" t="e">
        <f t="shared" ref="G2:G10" si="0">IF(AND(E2&lt;&gt;"",F2&lt;&gt;"",B2&gt;=E2,B2&lt;=F2),"YES","NO")</f>
        <v>#VALUE!</v>
      </c>
    </row>
    <row r="3" spans="1:7" x14ac:dyDescent="0.2">
      <c r="A3" s="2">
        <v>4</v>
      </c>
      <c r="B3" s="2">
        <f ca="1">MEDIAN(IF($B$3:$B$92=4,$F$3:$F$92))</f>
        <v>0</v>
      </c>
      <c r="C3" s="2">
        <f ca="1">MIN(IF($B$3:$B$92=4,$F$3:$F$92))</f>
        <v>0</v>
      </c>
      <c r="D3" s="2">
        <f ca="1">MAX(IF($B$3:$B$92=4,$F$3:$F$92))</f>
        <v>0</v>
      </c>
      <c r="E3" s="2" cm="1">
        <f t="array" ref="E3">_xlfn.XLOOKUP(A3,Targets!A:A,Targets!C:C,"")</f>
        <v>7.5</v>
      </c>
      <c r="F3" s="2" cm="1">
        <f t="array" ref="F3">_xlfn.XLOOKUP(A3,Targets!A:A,Targets!D:D,"")</f>
        <v>10.1</v>
      </c>
      <c r="G3" s="2">
        <f t="shared" ca="1" si="0"/>
        <v>0</v>
      </c>
    </row>
    <row r="4" spans="1:7" x14ac:dyDescent="0.2">
      <c r="A4" s="2">
        <v>6</v>
      </c>
      <c r="B4" s="2">
        <f ca="1">MEDIAN(IF($B$3:$B$92=6,$F$3:$F$92))</f>
        <v>0</v>
      </c>
      <c r="C4" s="2">
        <f ca="1">MIN(IF($B$3:$B$92=6,$F$3:$F$92))</f>
        <v>0</v>
      </c>
      <c r="D4" s="2">
        <f ca="1">MAX(IF($B$3:$B$92=6,$F$3:$F$92))</f>
        <v>0</v>
      </c>
      <c r="E4" s="2" t="str" cm="1">
        <f t="array" ref="E4">_xlfn.XLOOKUP(A4,Targets!A:A,Targets!C:C,"")</f>
        <v/>
      </c>
      <c r="F4" s="2" t="str" cm="1">
        <f t="array" ref="F4">_xlfn.XLOOKUP(A4,Targets!A:A,Targets!D:D,"")</f>
        <v/>
      </c>
      <c r="G4" s="2">
        <f t="shared" ca="1" si="0"/>
        <v>0</v>
      </c>
    </row>
    <row r="5" spans="1:7" x14ac:dyDescent="0.2">
      <c r="A5" s="2">
        <v>8</v>
      </c>
      <c r="B5" s="2">
        <f ca="1">MEDIAN(IF($B$3:$B$92=8,$F$3:$F$92))</f>
        <v>0</v>
      </c>
      <c r="C5" s="2">
        <f ca="1">MIN(IF($B$3:$B$92=8,$F$3:$F$92))</f>
        <v>0</v>
      </c>
      <c r="D5" s="2">
        <f ca="1">MAX(IF($B$3:$B$92=8,$F$3:$F$92))</f>
        <v>0</v>
      </c>
      <c r="E5" s="2" cm="1">
        <f t="array" ref="E5">_xlfn.XLOOKUP(A5,Targets!A:A,Targets!C:C,"")</f>
        <v>18.899999999999999</v>
      </c>
      <c r="F5" s="2" cm="1">
        <f t="array" ref="F5">_xlfn.XLOOKUP(A5,Targets!A:A,Targets!D:D,"")</f>
        <v>25.5</v>
      </c>
      <c r="G5" s="2">
        <f t="shared" ca="1" si="0"/>
        <v>0</v>
      </c>
    </row>
    <row r="6" spans="1:7" x14ac:dyDescent="0.2">
      <c r="A6" s="2">
        <v>12</v>
      </c>
      <c r="B6" s="2">
        <f ca="1">MEDIAN(IF($B$3:$B$92=12,$F$3:$F$92))</f>
        <v>0</v>
      </c>
      <c r="C6" s="2">
        <f ca="1">MIN(IF($B$3:$B$92=12,$F$3:$F$92))</f>
        <v>0</v>
      </c>
      <c r="D6" s="2">
        <f ca="1">MAX(IF($B$3:$B$92=12,$F$3:$F$92))</f>
        <v>0</v>
      </c>
      <c r="E6" s="2" cm="1">
        <f t="array" ref="E6">_xlfn.XLOOKUP(A6,Targets!A:A,Targets!C:C,"")</f>
        <v>47.6</v>
      </c>
      <c r="F6" s="2" cm="1">
        <f t="array" ref="F6">_xlfn.XLOOKUP(A6,Targets!A:A,Targets!D:D,"")</f>
        <v>64.400000000000006</v>
      </c>
      <c r="G6" s="2">
        <f t="shared" ca="1" si="0"/>
        <v>0</v>
      </c>
    </row>
    <row r="7" spans="1:7" x14ac:dyDescent="0.2">
      <c r="A7" s="2">
        <v>16</v>
      </c>
      <c r="B7" s="2">
        <f ca="1">MEDIAN(IF($B$3:$B$92=16,$F$3:$F$92))</f>
        <v>0</v>
      </c>
      <c r="C7" s="2">
        <f ca="1">MIN(IF($B$3:$B$92=16,$F$3:$F$92))</f>
        <v>0</v>
      </c>
      <c r="D7" s="2">
        <f ca="1">MAX(IF($B$3:$B$92=16,$F$3:$F$92))</f>
        <v>0</v>
      </c>
      <c r="E7" s="2" cm="1">
        <f t="array" ref="E7">_xlfn.XLOOKUP(A7,Targets!A:A,Targets!C:C,"")</f>
        <v>88.9</v>
      </c>
      <c r="F7" s="2" cm="1">
        <f t="array" ref="F7">_xlfn.XLOOKUP(A7,Targets!A:A,Targets!D:D,"")</f>
        <v>108.6</v>
      </c>
      <c r="G7" s="2">
        <f t="shared" ca="1" si="0"/>
        <v>0</v>
      </c>
    </row>
    <row r="8" spans="1:7" x14ac:dyDescent="0.2">
      <c r="A8" s="2">
        <v>20</v>
      </c>
      <c r="B8" s="2">
        <f ca="1">MEDIAN(IF($B$3:$B$92=20,$F$3:$F$92))</f>
        <v>0</v>
      </c>
      <c r="C8" s="2">
        <f ca="1">MIN(IF($B$3:$B$92=20,$F$3:$F$92))</f>
        <v>0</v>
      </c>
      <c r="D8" s="2">
        <f ca="1">MAX(IF($B$3:$B$92=20,$F$3:$F$92))</f>
        <v>0</v>
      </c>
      <c r="E8" s="2" cm="1">
        <f t="array" ref="E8">_xlfn.XLOOKUP(A8,Targets!A:A,Targets!C:C,"")</f>
        <v>127.4</v>
      </c>
      <c r="F8" s="2" cm="1">
        <f t="array" ref="F8">_xlfn.XLOOKUP(A8,Targets!A:A,Targets!D:D,"")</f>
        <v>155.69999999999999</v>
      </c>
      <c r="G8" s="2">
        <f t="shared" ca="1" si="0"/>
        <v>0</v>
      </c>
    </row>
    <row r="9" spans="1:7" x14ac:dyDescent="0.2">
      <c r="A9" s="2">
        <v>24</v>
      </c>
      <c r="B9" s="2">
        <f ca="1">MEDIAN(IF($B$3:$B$92=24,$F$3:$F$92))</f>
        <v>0</v>
      </c>
      <c r="C9" s="2">
        <f ca="1">MIN(IF($B$3:$B$92=24,$F$3:$F$92))</f>
        <v>0</v>
      </c>
      <c r="D9" s="2">
        <f ca="1">MAX(IF($B$3:$B$92=24,$F$3:$F$92))</f>
        <v>0</v>
      </c>
      <c r="E9" s="2" cm="1">
        <f t="array" ref="E9">_xlfn.XLOOKUP(A9,Targets!A:A,Targets!C:C,"")</f>
        <v>165.8</v>
      </c>
      <c r="F9" s="2" cm="1">
        <f t="array" ref="F9">_xlfn.XLOOKUP(A9,Targets!A:A,Targets!D:D,"")</f>
        <v>202.7</v>
      </c>
      <c r="G9" s="2">
        <f t="shared" ca="1" si="0"/>
        <v>0</v>
      </c>
    </row>
    <row r="10" spans="1:7" x14ac:dyDescent="0.2">
      <c r="A10" s="2">
        <v>28</v>
      </c>
      <c r="B10" s="2">
        <f ca="1">MEDIAN(IF($B$3:$B$92=28,$F$3:$F$92))</f>
        <v>0</v>
      </c>
      <c r="C10" s="2">
        <f ca="1">MIN(IF($B$3:$B$92=28,$F$3:$F$92))</f>
        <v>0</v>
      </c>
      <c r="D10" s="2">
        <f ca="1">MAX(IF($B$3:$B$92=28,$F$3:$F$92))</f>
        <v>0</v>
      </c>
      <c r="E10" s="2" cm="1">
        <f t="array" ref="E10">_xlfn.XLOOKUP(A10,Targets!A:A,Targets!C:C,"")</f>
        <v>211.1</v>
      </c>
      <c r="F10" s="2" cm="1">
        <f t="array" ref="F10">_xlfn.XLOOKUP(A10,Targets!A:A,Targets!D:D,"")</f>
        <v>242.9</v>
      </c>
      <c r="G10" s="2">
        <f t="shared" ca="1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Data_Collection</vt:lpstr>
      <vt:lpstr>Targets</vt:lpstr>
      <vt:lpstr>EC_Log</vt:lpstr>
      <vt:lpstr>Aggregations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Gutierrez</cp:lastModifiedBy>
  <dcterms:created xsi:type="dcterms:W3CDTF">2025-10-20T04:44:08Z</dcterms:created>
  <dcterms:modified xsi:type="dcterms:W3CDTF">2026-01-05T01:19:55Z</dcterms:modified>
</cp:coreProperties>
</file>