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i\Downloads\"/>
    </mc:Choice>
  </mc:AlternateContent>
  <xr:revisionPtr revIDLastSave="0" documentId="13_ncr:1_{EBE99757-17FA-4409-A238-B38FA6DD7C1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arams" sheetId="1" r:id="rId1"/>
    <sheet name="Baseline (Daily)" sheetId="2" r:id="rId2"/>
    <sheet name="Checkpoints (Every 4d)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B9" i="3"/>
  <c r="G9" i="3" s="1"/>
  <c r="H8" i="3"/>
  <c r="C8" i="3"/>
  <c r="B8" i="3"/>
  <c r="G8" i="3" s="1"/>
  <c r="H7" i="3"/>
  <c r="B7" i="3"/>
  <c r="D7" i="3" s="1"/>
  <c r="H6" i="3"/>
  <c r="G6" i="3"/>
  <c r="B6" i="3"/>
  <c r="F6" i="3" s="1"/>
  <c r="H5" i="3"/>
  <c r="G5" i="3"/>
  <c r="F5" i="3"/>
  <c r="D5" i="3"/>
  <c r="C5" i="3"/>
  <c r="B5" i="3"/>
  <c r="H4" i="3"/>
  <c r="C4" i="3"/>
  <c r="B4" i="3"/>
  <c r="F4" i="3" s="1"/>
  <c r="P3" i="3" a="1"/>
  <c r="P3" i="3" s="1"/>
  <c r="B5" i="4" s="1"/>
  <c r="H3" i="3"/>
  <c r="C3" i="3"/>
  <c r="B3" i="3"/>
  <c r="F3" i="3" s="1"/>
  <c r="H2" i="3"/>
  <c r="B2" i="3"/>
  <c r="C2" i="3" s="1"/>
  <c r="B30" i="2"/>
  <c r="C30" i="2" s="1"/>
  <c r="B29" i="2"/>
  <c r="D29" i="2" s="1"/>
  <c r="B28" i="2"/>
  <c r="D28" i="2" s="1"/>
  <c r="D27" i="2"/>
  <c r="C27" i="2"/>
  <c r="B27" i="2"/>
  <c r="C26" i="2"/>
  <c r="B26" i="2"/>
  <c r="D26" i="2" s="1"/>
  <c r="B25" i="2"/>
  <c r="D25" i="2" s="1"/>
  <c r="D24" i="2"/>
  <c r="C24" i="2"/>
  <c r="B24" i="2"/>
  <c r="B23" i="2"/>
  <c r="C23" i="2" s="1"/>
  <c r="B22" i="2"/>
  <c r="C22" i="2" s="1"/>
  <c r="B21" i="2"/>
  <c r="D21" i="2" s="1"/>
  <c r="B20" i="2"/>
  <c r="D20" i="2" s="1"/>
  <c r="D19" i="2"/>
  <c r="C19" i="2"/>
  <c r="B19" i="2"/>
  <c r="C18" i="2"/>
  <c r="B18" i="2"/>
  <c r="D18" i="2" s="1"/>
  <c r="B17" i="2"/>
  <c r="C17" i="2" s="1"/>
  <c r="D16" i="2"/>
  <c r="C16" i="2"/>
  <c r="B16" i="2"/>
  <c r="B15" i="2"/>
  <c r="C15" i="2" s="1"/>
  <c r="B14" i="2"/>
  <c r="C14" i="2" s="1"/>
  <c r="B13" i="2"/>
  <c r="D13" i="2" s="1"/>
  <c r="B12" i="2"/>
  <c r="D12" i="2" s="1"/>
  <c r="D11" i="2"/>
  <c r="C11" i="2"/>
  <c r="B11" i="2"/>
  <c r="C10" i="2"/>
  <c r="B10" i="2"/>
  <c r="D10" i="2" s="1"/>
  <c r="B9" i="2"/>
  <c r="D9" i="2" s="1"/>
  <c r="D8" i="2"/>
  <c r="C8" i="2"/>
  <c r="B8" i="2"/>
  <c r="B7" i="2"/>
  <c r="C7" i="2" s="1"/>
  <c r="B6" i="2"/>
  <c r="C6" i="2" s="1"/>
  <c r="B5" i="2"/>
  <c r="D5" i="2" s="1"/>
  <c r="B4" i="2"/>
  <c r="D4" i="2" s="1"/>
  <c r="D3" i="2"/>
  <c r="C3" i="2"/>
  <c r="B3" i="2"/>
  <c r="C2" i="2"/>
  <c r="B2" i="2"/>
  <c r="D2" i="2" s="1"/>
  <c r="D6" i="2" l="1"/>
  <c r="C9" i="2"/>
  <c r="D14" i="2"/>
  <c r="C25" i="2"/>
  <c r="D30" i="2"/>
  <c r="D17" i="2"/>
  <c r="C20" i="2"/>
  <c r="C28" i="2"/>
  <c r="D4" i="3"/>
  <c r="D7" i="2"/>
  <c r="D15" i="2"/>
  <c r="D23" i="2"/>
  <c r="D2" i="3"/>
  <c r="G3" i="3"/>
  <c r="G4" i="3"/>
  <c r="C5" i="2"/>
  <c r="C13" i="2"/>
  <c r="C21" i="2"/>
  <c r="C29" i="2"/>
  <c r="F2" i="3"/>
  <c r="C6" i="3"/>
  <c r="F7" i="3"/>
  <c r="D22" i="2"/>
  <c r="C4" i="2"/>
  <c r="C12" i="2"/>
  <c r="D3" i="3"/>
  <c r="G2" i="3"/>
  <c r="D6" i="3"/>
  <c r="G7" i="3"/>
  <c r="C9" i="3"/>
  <c r="D9" i="3"/>
  <c r="F9" i="3"/>
  <c r="D8" i="3"/>
  <c r="C7" i="3"/>
  <c r="F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<sst xmlns="http://schemas.openxmlformats.org/spreadsheetml/2006/main" count="40" uniqueCount="37">
  <si>
    <t>Gompertz Parameters (edit these)</t>
  </si>
  <si>
    <t>A (asymptote, g)</t>
  </si>
  <si>
    <t>b (displacement)</t>
  </si>
  <si>
    <t>k (rate constant)</t>
  </si>
  <si>
    <t>Notes</t>
  </si>
  <si>
    <t>L(t) = A * EXP( -EXP( b - k*t ) )</t>
  </si>
  <si>
    <t>Change A, b, k in cells B2:B4 to fit your cultivar or environment.</t>
  </si>
  <si>
    <t>Created on: 2025-10-29</t>
  </si>
  <si>
    <t>Day</t>
  </si>
  <si>
    <t>Target FW (g) - Gompertz</t>
  </si>
  <si>
    <t>Lower Band (−10%)</t>
  </si>
  <si>
    <t>Upper Band (+10%)</t>
  </si>
  <si>
    <t>Target FW (g)</t>
  </si>
  <si>
    <t>Lower (−10%)</t>
  </si>
  <si>
    <t>Upper (+10%)</t>
  </si>
  <si>
    <t>Observed Median FW (g)</t>
  </si>
  <si>
    <t>Deviation (g)</t>
  </si>
  <si>
    <t>Deviation (%)</t>
  </si>
  <si>
    <t>Status vs Band</t>
  </si>
  <si>
    <t>EC Now (mS/cm)</t>
  </si>
  <si>
    <t>EC Δ (−0.1/0/+0.1)</t>
  </si>
  <si>
    <t>New EC (mS/cm)</t>
  </si>
  <si>
    <t>PPFD Now (µmol m⁻² s⁻¹)</t>
  </si>
  <si>
    <t>PPFD Δ (−/0/+)</t>
  </si>
  <si>
    <t>New PPFD (µmol m⁻² s⁻¹)</t>
  </si>
  <si>
    <t>Control Action Notes</t>
  </si>
  <si>
    <t>PPFD increased here; keep PPFD fixed thereafter; continue EC-only adjustments.</t>
  </si>
  <si>
    <t>Goodness of Fit</t>
  </si>
  <si>
    <t>R² (Observed vs Target)</t>
  </si>
  <si>
    <t>Lettuce Growth Steering Dashboard</t>
  </si>
  <si>
    <t>Edit A, b, k in Params. Enter Observed FW in 'Checkpoints (Every 4d)'. Chart updates automatically.</t>
  </si>
  <si>
    <t>R² (Observed vs Target):</t>
  </si>
  <si>
    <t>1.2-1.4</t>
  </si>
  <si>
    <t>1.4-1.6</t>
  </si>
  <si>
    <t>Change</t>
  </si>
  <si>
    <t>1.6-1.8</t>
  </si>
  <si>
    <t>1.8-2.0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</si>
</sst>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0" fillId="0" borderId="0" xfId="0" applyNumberFormat="1"/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Gompertz Baseline vs Observed (±10% bands)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Baseline Target</c:v>
          </c:tx>
          <c:marker>
            <c:symbol val="none"/>
          </c:marker>
          <c:xVal>
            <c:numRef>
              <c:f>'Baseline (Daily)'!$A$2:$A$30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'Baseline (Daily)'!$B$2:$B$30</c:f>
              <c:numCache>
                <c:formatCode>General</c:formatCode>
                <c:ptCount val="29"/>
                <c:pt idx="0">
                  <c:v>5.0313365137603598E-9</c:v>
                </c:pt>
                <c:pt idx="1">
                  <c:v>4.2952456372829241E-7</c:v>
                </c:pt>
                <c:pt idx="2">
                  <c:v>1.6375950151362105E-5</c:v>
                </c:pt>
                <c:pt idx="3">
                  <c:v>3.2269981973533486E-4</c:v>
                </c:pt>
                <c:pt idx="4">
                  <c:v>3.7044282035862434E-3</c:v>
                </c:pt>
                <c:pt idx="5">
                  <c:v>2.7321987939091612E-2</c:v>
                </c:pt>
                <c:pt idx="6">
                  <c:v>0.14028123057815822</c:v>
                </c:pt>
                <c:pt idx="7">
                  <c:v>0.53542339800756222</c:v>
                </c:pt>
                <c:pt idx="8">
                  <c:v>1.6030652746215361</c:v>
                </c:pt>
                <c:pt idx="9">
                  <c:v>3.9343671799895397</c:v>
                </c:pt>
                <c:pt idx="10">
                  <c:v>8.2057333152817566</c:v>
                </c:pt>
                <c:pt idx="11">
                  <c:v>14.979284136885948</c:v>
                </c:pt>
                <c:pt idx="12">
                  <c:v>24.518037937126291</c:v>
                </c:pt>
                <c:pt idx="13">
                  <c:v>36.701998810943699</c:v>
                </c:pt>
                <c:pt idx="14">
                  <c:v>51.066327135831507</c:v>
                </c:pt>
                <c:pt idx="15">
                  <c:v>66.923304805518882</c:v>
                </c:pt>
                <c:pt idx="16">
                  <c:v>83.508633145917415</c:v>
                </c:pt>
                <c:pt idx="17">
                  <c:v>100.10496288905708</c:v>
                </c:pt>
                <c:pt idx="18">
                  <c:v>116.12067724741244</c:v>
                </c:pt>
                <c:pt idx="19">
                  <c:v>131.12333664677385</c:v>
                </c:pt>
                <c:pt idx="20">
                  <c:v>144.83874981411822</c:v>
                </c:pt>
                <c:pt idx="21">
                  <c:v>157.12954245506364</c:v>
                </c:pt>
                <c:pt idx="22">
                  <c:v>167.96503043587862</c:v>
                </c:pt>
                <c:pt idx="23">
                  <c:v>177.39041776085094</c:v>
                </c:pt>
                <c:pt idx="24">
                  <c:v>185.49974353515955</c:v>
                </c:pt>
                <c:pt idx="25">
                  <c:v>192.41435184908053</c:v>
                </c:pt>
                <c:pt idx="26">
                  <c:v>198.26702519793747</c:v>
                </c:pt>
                <c:pt idx="27">
                  <c:v>203.19108853729014</c:v>
                </c:pt>
                <c:pt idx="28">
                  <c:v>207.31348421526209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9-481E-B0B5-54C56418DC79}"/>
            </c:ext>
          </c:extLst>
        </c:ser>
        <c:ser>
          <c:idx val="1"/>
          <c:order val="1"/>
          <c:tx>
            <c:v>Lower Band (−10%)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'Baseline (Daily)'!$A$2:$A$30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'Baseline (Daily)'!$C$2:$C$30</c:f>
              <c:numCache>
                <c:formatCode>General</c:formatCode>
                <c:ptCount val="29"/>
                <c:pt idx="0">
                  <c:v>4.5282028623843242E-9</c:v>
                </c:pt>
                <c:pt idx="1">
                  <c:v>3.8657210735546317E-7</c:v>
                </c:pt>
                <c:pt idx="2">
                  <c:v>1.4738355136225894E-5</c:v>
                </c:pt>
                <c:pt idx="3">
                  <c:v>2.9042983776180137E-4</c:v>
                </c:pt>
                <c:pt idx="4">
                  <c:v>3.3339853832276192E-3</c:v>
                </c:pt>
                <c:pt idx="5">
                  <c:v>2.458978914518245E-2</c:v>
                </c:pt>
                <c:pt idx="6">
                  <c:v>0.12625310752034241</c:v>
                </c:pt>
                <c:pt idx="7">
                  <c:v>0.48188105820680599</c:v>
                </c:pt>
                <c:pt idx="8">
                  <c:v>1.4427587471593826</c:v>
                </c:pt>
                <c:pt idx="9">
                  <c:v>3.5409304619905857</c:v>
                </c:pt>
                <c:pt idx="10">
                  <c:v>7.3851599837535815</c:v>
                </c:pt>
                <c:pt idx="11">
                  <c:v>13.481355723197353</c:v>
                </c:pt>
                <c:pt idx="12">
                  <c:v>22.066234143413663</c:v>
                </c:pt>
                <c:pt idx="13">
                  <c:v>33.03179892984933</c:v>
                </c:pt>
                <c:pt idx="14">
                  <c:v>45.959694422248354</c:v>
                </c:pt>
                <c:pt idx="15">
                  <c:v>60.230974324966994</c:v>
                </c:pt>
                <c:pt idx="16">
                  <c:v>75.15776983132568</c:v>
                </c:pt>
                <c:pt idx="17">
                  <c:v>90.094466600151378</c:v>
                </c:pt>
                <c:pt idx="18">
                  <c:v>104.50860952267121</c:v>
                </c:pt>
                <c:pt idx="19">
                  <c:v>118.01100298209647</c:v>
                </c:pt>
                <c:pt idx="20">
                  <c:v>130.3548748327064</c:v>
                </c:pt>
                <c:pt idx="21">
                  <c:v>141.41658820955729</c:v>
                </c:pt>
                <c:pt idx="22">
                  <c:v>151.16852739229077</c:v>
                </c:pt>
                <c:pt idx="23">
                  <c:v>159.65137598476585</c:v>
                </c:pt>
                <c:pt idx="24">
                  <c:v>166.9497691816436</c:v>
                </c:pt>
                <c:pt idx="25">
                  <c:v>173.17291666417248</c:v>
                </c:pt>
                <c:pt idx="26">
                  <c:v>178.44032267814373</c:v>
                </c:pt>
                <c:pt idx="27">
                  <c:v>182.87197968356114</c:v>
                </c:pt>
                <c:pt idx="28">
                  <c:v>186.58213579373589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69-481E-B0B5-54C56418DC79}"/>
            </c:ext>
          </c:extLst>
        </c:ser>
        <c:ser>
          <c:idx val="2"/>
          <c:order val="2"/>
          <c:tx>
            <c:v>Upper Band (+10%)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'Baseline (Daily)'!$A$2:$A$30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'Baseline (Daily)'!$D$2:$D$30</c:f>
              <c:numCache>
                <c:formatCode>General</c:formatCode>
                <c:ptCount val="29"/>
                <c:pt idx="0">
                  <c:v>5.5344701651363963E-9</c:v>
                </c:pt>
                <c:pt idx="1">
                  <c:v>4.724770201011217E-7</c:v>
                </c:pt>
                <c:pt idx="2">
                  <c:v>1.8013545166498318E-5</c:v>
                </c:pt>
                <c:pt idx="3">
                  <c:v>3.5496980170886836E-4</c:v>
                </c:pt>
                <c:pt idx="4">
                  <c:v>4.0748710239448677E-3</c:v>
                </c:pt>
                <c:pt idx="5">
                  <c:v>3.0054186733000775E-2</c:v>
                </c:pt>
                <c:pt idx="6">
                  <c:v>0.15430935363597406</c:v>
                </c:pt>
                <c:pt idx="7">
                  <c:v>0.58896573780831851</c:v>
                </c:pt>
                <c:pt idx="8">
                  <c:v>1.7633718020836899</c:v>
                </c:pt>
                <c:pt idx="9">
                  <c:v>4.3278038979884936</c:v>
                </c:pt>
                <c:pt idx="10">
                  <c:v>9.0263066468099336</c:v>
                </c:pt>
                <c:pt idx="11">
                  <c:v>16.477212550574542</c:v>
                </c:pt>
                <c:pt idx="12">
                  <c:v>26.969841730838922</c:v>
                </c:pt>
                <c:pt idx="13">
                  <c:v>40.372198692038076</c:v>
                </c:pt>
                <c:pt idx="14">
                  <c:v>56.17295984941466</c:v>
                </c:pt>
                <c:pt idx="15">
                  <c:v>73.61563528607077</c:v>
                </c:pt>
                <c:pt idx="16">
                  <c:v>91.859496460509163</c:v>
                </c:pt>
                <c:pt idx="17">
                  <c:v>110.11545917796279</c:v>
                </c:pt>
                <c:pt idx="18">
                  <c:v>127.7327449721537</c:v>
                </c:pt>
                <c:pt idx="19">
                  <c:v>144.23567031145126</c:v>
                </c:pt>
                <c:pt idx="20">
                  <c:v>159.32262479553006</c:v>
                </c:pt>
                <c:pt idx="21">
                  <c:v>172.84249670057002</c:v>
                </c:pt>
                <c:pt idx="22">
                  <c:v>184.76153347946649</c:v>
                </c:pt>
                <c:pt idx="23">
                  <c:v>195.12945953693605</c:v>
                </c:pt>
                <c:pt idx="24">
                  <c:v>204.04971788867553</c:v>
                </c:pt>
                <c:pt idx="25">
                  <c:v>211.65578703398862</c:v>
                </c:pt>
                <c:pt idx="26">
                  <c:v>218.09372771773124</c:v>
                </c:pt>
                <c:pt idx="27">
                  <c:v>223.51019739101918</c:v>
                </c:pt>
                <c:pt idx="28">
                  <c:v>228.04483263678833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69-481E-B0B5-54C56418DC79}"/>
            </c:ext>
          </c:extLst>
        </c:ser>
        <c:ser>
          <c:idx val="3"/>
          <c:order val="3"/>
          <c:tx>
            <c:v>Observed FW (points)</c:v>
          </c:tx>
          <c:spPr>
            <a:ln>
              <a:noFill/>
            </a:ln>
          </c:spPr>
          <c:marker>
            <c:symbol val="circle"/>
            <c:size val="7"/>
          </c:marker>
          <c:xVal>
            <c:numRef>
              <c:f>'Checkpoints (Every 4d)'!$A$2:$A$9</c:f>
              <c:numCache>
                <c:formatCode>General</c:formatCode>
                <c:ptCount val="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'Checkpoints (Every 4d)'!$E$2:$E$9</c:f>
              <c:numCache>
                <c:formatCode>General</c:formatCode>
                <c:ptCount val="8"/>
                <c:pt idx="0">
                  <c:v>3.5</c:v>
                </c:pt>
                <c:pt idx="1">
                  <c:v>13.1</c:v>
                </c:pt>
                <c:pt idx="2">
                  <c:v>19.8</c:v>
                </c:pt>
                <c:pt idx="3">
                  <c:v>27.3</c:v>
                </c:pt>
                <c:pt idx="4">
                  <c:v>42.3</c:v>
                </c:pt>
                <c:pt idx="5">
                  <c:v>80.8</c:v>
                </c:pt>
                <c:pt idx="6">
                  <c:v>139.30000000000001</c:v>
                </c:pt>
                <c:pt idx="7">
                  <c:v>219.8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69-481E-B0B5-54C56418D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Fresh Weight (g)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1733550</xdr:colOff>
      <xdr:row>7</xdr:row>
      <xdr:rowOff>133350</xdr:rowOff>
    </xdr:from>
    <xdr:to>
      <xdr:col>5</xdr:col>
      <xdr:colOff>371475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K21" sqref="K21"/>
    </sheetView>
  </sheetViews>
  <sheetFormatPr defaultRowHeight="14.5" x14ac:dyDescent="0.35"/>
  <cols>
    <col min="1" max="1" width="53.26953125" bestFit="1" customWidth="1"/>
  </cols>
  <sheetData>
    <row r="1" spans="1:2" ht="18.5" x14ac:dyDescent="0.45">
      <c r="A1" s="1" t="s">
        <v>0</v>
      </c>
    </row>
    <row r="2" spans="1:2" x14ac:dyDescent="0.35">
      <c r="A2" s="2" t="s">
        <v>1</v>
      </c>
      <c r="B2">
        <v>227</v>
      </c>
    </row>
    <row r="3" spans="1:2" x14ac:dyDescent="0.35">
      <c r="A3" s="2" t="s">
        <v>2</v>
      </c>
      <c r="B3">
        <v>3.2</v>
      </c>
    </row>
    <row r="4" spans="1:2" x14ac:dyDescent="0.35">
      <c r="A4" s="2" t="s">
        <v>3</v>
      </c>
      <c r="B4">
        <v>0.2</v>
      </c>
    </row>
    <row r="6" spans="1:2" x14ac:dyDescent="0.35">
      <c r="A6" s="2" t="s">
        <v>4</v>
      </c>
    </row>
    <row r="7" spans="1:2" x14ac:dyDescent="0.35">
      <c r="A7" t="s">
        <v>5</v>
      </c>
    </row>
    <row r="8" spans="1:2" x14ac:dyDescent="0.35">
      <c r="A8" s="3" t="s">
        <v>6</v>
      </c>
    </row>
    <row r="9" spans="1:2" x14ac:dyDescent="0.35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L18" sqref="L18"/>
    </sheetView>
  </sheetViews>
  <sheetFormatPr defaultRowHeight="14.5" x14ac:dyDescent="0.35"/>
  <cols>
    <col min="1" max="1" width="8.7265625" customWidth="1"/>
    <col min="2" max="2" width="22.6328125" bestFit="1" customWidth="1"/>
    <col min="3" max="4" width="18.7265625" customWidth="1"/>
  </cols>
  <sheetData>
    <row r="1" spans="1:4" x14ac:dyDescent="0.35">
      <c r="A1" s="2" t="s">
        <v>8</v>
      </c>
      <c r="B1" s="2" t="s">
        <v>9</v>
      </c>
      <c r="C1" s="2" t="s">
        <v>10</v>
      </c>
      <c r="D1" s="2" t="s">
        <v>11</v>
      </c>
    </row>
    <row r="2" spans="1:4" x14ac:dyDescent="0.35">
      <c r="A2">
        <v>0</v>
      </c>
      <c r="B2">
        <f>Params!B2*EXP(-EXP(Params!B3 - Params!B4*A2))</f>
        <v>5.0313365137603598E-9</v>
      </c>
      <c r="C2">
        <f t="shared" ref="C2:C30" si="0">B2*0.9</f>
        <v>4.5282028623843242E-9</v>
      </c>
      <c r="D2">
        <f t="shared" ref="D2:D30" si="1">B2*1.1</f>
        <v>5.5344701651363963E-9</v>
      </c>
    </row>
    <row r="3" spans="1:4" x14ac:dyDescent="0.35">
      <c r="A3">
        <v>1</v>
      </c>
      <c r="B3">
        <f>Params!B2*EXP(-EXP(Params!B3 - Params!B4*A3))</f>
        <v>4.2952456372829241E-7</v>
      </c>
      <c r="C3">
        <f t="shared" si="0"/>
        <v>3.8657210735546317E-7</v>
      </c>
      <c r="D3">
        <f t="shared" si="1"/>
        <v>4.724770201011217E-7</v>
      </c>
    </row>
    <row r="4" spans="1:4" x14ac:dyDescent="0.35">
      <c r="A4">
        <v>2</v>
      </c>
      <c r="B4">
        <f>Params!B2*EXP(-EXP(Params!B3 - Params!B4*A4))</f>
        <v>1.6375950151362105E-5</v>
      </c>
      <c r="C4">
        <f t="shared" si="0"/>
        <v>1.4738355136225894E-5</v>
      </c>
      <c r="D4">
        <f t="shared" si="1"/>
        <v>1.8013545166498318E-5</v>
      </c>
    </row>
    <row r="5" spans="1:4" x14ac:dyDescent="0.35">
      <c r="A5">
        <v>3</v>
      </c>
      <c r="B5">
        <f>Params!B2*EXP(-EXP(Params!B3 - Params!B4*A5))</f>
        <v>3.2269981973533486E-4</v>
      </c>
      <c r="C5">
        <f t="shared" si="0"/>
        <v>2.9042983776180137E-4</v>
      </c>
      <c r="D5">
        <f t="shared" si="1"/>
        <v>3.5496980170886836E-4</v>
      </c>
    </row>
    <row r="6" spans="1:4" x14ac:dyDescent="0.35">
      <c r="A6">
        <v>4</v>
      </c>
      <c r="B6">
        <f>Params!B2*EXP(-EXP(Params!B3 - Params!B4*A6))</f>
        <v>3.7044282035862434E-3</v>
      </c>
      <c r="C6">
        <f t="shared" si="0"/>
        <v>3.3339853832276192E-3</v>
      </c>
      <c r="D6">
        <f t="shared" si="1"/>
        <v>4.0748710239448677E-3</v>
      </c>
    </row>
    <row r="7" spans="1:4" x14ac:dyDescent="0.35">
      <c r="A7">
        <v>5</v>
      </c>
      <c r="B7">
        <f>Params!B2*EXP(-EXP(Params!B3 - Params!B4*A7))</f>
        <v>2.7321987939091612E-2</v>
      </c>
      <c r="C7">
        <f t="shared" si="0"/>
        <v>2.458978914518245E-2</v>
      </c>
      <c r="D7">
        <f t="shared" si="1"/>
        <v>3.0054186733000775E-2</v>
      </c>
    </row>
    <row r="8" spans="1:4" x14ac:dyDescent="0.35">
      <c r="A8">
        <v>6</v>
      </c>
      <c r="B8">
        <f>Params!B2*EXP(-EXP(Params!B3 - Params!B4*A8))</f>
        <v>0.14028123057815822</v>
      </c>
      <c r="C8">
        <f t="shared" si="0"/>
        <v>0.12625310752034241</v>
      </c>
      <c r="D8">
        <f t="shared" si="1"/>
        <v>0.15430935363597406</v>
      </c>
    </row>
    <row r="9" spans="1:4" x14ac:dyDescent="0.35">
      <c r="A9">
        <v>7</v>
      </c>
      <c r="B9">
        <f>Params!B2*EXP(-EXP(Params!B3 - Params!B4*A9))</f>
        <v>0.53542339800756222</v>
      </c>
      <c r="C9">
        <f t="shared" si="0"/>
        <v>0.48188105820680599</v>
      </c>
      <c r="D9">
        <f t="shared" si="1"/>
        <v>0.58896573780831851</v>
      </c>
    </row>
    <row r="10" spans="1:4" x14ac:dyDescent="0.35">
      <c r="A10">
        <v>8</v>
      </c>
      <c r="B10">
        <f>Params!B2*EXP(-EXP(Params!B3 - Params!B4*A10))</f>
        <v>1.6030652746215361</v>
      </c>
      <c r="C10">
        <f t="shared" si="0"/>
        <v>1.4427587471593826</v>
      </c>
      <c r="D10">
        <f t="shared" si="1"/>
        <v>1.7633718020836899</v>
      </c>
    </row>
    <row r="11" spans="1:4" x14ac:dyDescent="0.35">
      <c r="A11">
        <v>9</v>
      </c>
      <c r="B11">
        <f>Params!B2*EXP(-EXP(Params!B3 - Params!B4*A11))</f>
        <v>3.9343671799895397</v>
      </c>
      <c r="C11">
        <f t="shared" si="0"/>
        <v>3.5409304619905857</v>
      </c>
      <c r="D11">
        <f t="shared" si="1"/>
        <v>4.3278038979884936</v>
      </c>
    </row>
    <row r="12" spans="1:4" x14ac:dyDescent="0.35">
      <c r="A12">
        <v>10</v>
      </c>
      <c r="B12">
        <f>Params!B2*EXP(-EXP(Params!B3 - Params!B4*A12))</f>
        <v>8.2057333152817566</v>
      </c>
      <c r="C12">
        <f t="shared" si="0"/>
        <v>7.3851599837535815</v>
      </c>
      <c r="D12">
        <f t="shared" si="1"/>
        <v>9.0263066468099336</v>
      </c>
    </row>
    <row r="13" spans="1:4" x14ac:dyDescent="0.35">
      <c r="A13">
        <v>11</v>
      </c>
      <c r="B13">
        <f>Params!B2*EXP(-EXP(Params!B3 - Params!B4*A13))</f>
        <v>14.979284136885948</v>
      </c>
      <c r="C13">
        <f t="shared" si="0"/>
        <v>13.481355723197353</v>
      </c>
      <c r="D13">
        <f t="shared" si="1"/>
        <v>16.477212550574542</v>
      </c>
    </row>
    <row r="14" spans="1:4" x14ac:dyDescent="0.35">
      <c r="A14">
        <v>12</v>
      </c>
      <c r="B14">
        <f>Params!B2*EXP(-EXP(Params!B3 - Params!B4*A14))</f>
        <v>24.518037937126291</v>
      </c>
      <c r="C14">
        <f t="shared" si="0"/>
        <v>22.066234143413663</v>
      </c>
      <c r="D14">
        <f t="shared" si="1"/>
        <v>26.969841730838922</v>
      </c>
    </row>
    <row r="15" spans="1:4" x14ac:dyDescent="0.35">
      <c r="A15">
        <v>13</v>
      </c>
      <c r="B15">
        <f>Params!B2*EXP(-EXP(Params!B3 - Params!B4*A15))</f>
        <v>36.701998810943699</v>
      </c>
      <c r="C15">
        <f t="shared" si="0"/>
        <v>33.03179892984933</v>
      </c>
      <c r="D15">
        <f t="shared" si="1"/>
        <v>40.372198692038076</v>
      </c>
    </row>
    <row r="16" spans="1:4" x14ac:dyDescent="0.35">
      <c r="A16">
        <v>14</v>
      </c>
      <c r="B16">
        <f>Params!B2*EXP(-EXP(Params!B3 - Params!B4*A16))</f>
        <v>51.066327135831507</v>
      </c>
      <c r="C16">
        <f t="shared" si="0"/>
        <v>45.959694422248354</v>
      </c>
      <c r="D16">
        <f t="shared" si="1"/>
        <v>56.17295984941466</v>
      </c>
    </row>
    <row r="17" spans="1:4" x14ac:dyDescent="0.35">
      <c r="A17">
        <v>15</v>
      </c>
      <c r="B17">
        <f>Params!B2*EXP(-EXP(Params!B3 - Params!B4*A17))</f>
        <v>66.923304805518882</v>
      </c>
      <c r="C17">
        <f t="shared" si="0"/>
        <v>60.230974324966994</v>
      </c>
      <c r="D17">
        <f t="shared" si="1"/>
        <v>73.61563528607077</v>
      </c>
    </row>
    <row r="18" spans="1:4" x14ac:dyDescent="0.35">
      <c r="A18">
        <v>16</v>
      </c>
      <c r="B18">
        <f>Params!B2*EXP(-EXP(Params!B3 - Params!B4*A18))</f>
        <v>83.508633145917415</v>
      </c>
      <c r="C18">
        <f t="shared" si="0"/>
        <v>75.15776983132568</v>
      </c>
      <c r="D18">
        <f t="shared" si="1"/>
        <v>91.859496460509163</v>
      </c>
    </row>
    <row r="19" spans="1:4" x14ac:dyDescent="0.35">
      <c r="A19">
        <v>17</v>
      </c>
      <c r="B19">
        <f>Params!B2*EXP(-EXP(Params!B3 - Params!B4*A19))</f>
        <v>100.10496288905708</v>
      </c>
      <c r="C19">
        <f t="shared" si="0"/>
        <v>90.094466600151378</v>
      </c>
      <c r="D19">
        <f t="shared" si="1"/>
        <v>110.11545917796279</v>
      </c>
    </row>
    <row r="20" spans="1:4" x14ac:dyDescent="0.35">
      <c r="A20">
        <v>18</v>
      </c>
      <c r="B20">
        <f>Params!B2*EXP(-EXP(Params!B3 - Params!B4*A20))</f>
        <v>116.12067724741244</v>
      </c>
      <c r="C20">
        <f t="shared" si="0"/>
        <v>104.50860952267121</v>
      </c>
      <c r="D20">
        <f t="shared" si="1"/>
        <v>127.7327449721537</v>
      </c>
    </row>
    <row r="21" spans="1:4" x14ac:dyDescent="0.35">
      <c r="A21">
        <v>19</v>
      </c>
      <c r="B21">
        <f>Params!B2*EXP(-EXP(Params!B3 - Params!B4*A21))</f>
        <v>131.12333664677385</v>
      </c>
      <c r="C21">
        <f t="shared" si="0"/>
        <v>118.01100298209647</v>
      </c>
      <c r="D21">
        <f t="shared" si="1"/>
        <v>144.23567031145126</v>
      </c>
    </row>
    <row r="22" spans="1:4" x14ac:dyDescent="0.35">
      <c r="A22">
        <v>20</v>
      </c>
      <c r="B22">
        <f>Params!B2*EXP(-EXP(Params!B3 - Params!B4*A22))</f>
        <v>144.83874981411822</v>
      </c>
      <c r="C22">
        <f t="shared" si="0"/>
        <v>130.3548748327064</v>
      </c>
      <c r="D22">
        <f t="shared" si="1"/>
        <v>159.32262479553006</v>
      </c>
    </row>
    <row r="23" spans="1:4" x14ac:dyDescent="0.35">
      <c r="A23">
        <v>21</v>
      </c>
      <c r="B23">
        <f>Params!B2*EXP(-EXP(Params!B3 - Params!B4*A23))</f>
        <v>157.12954245506364</v>
      </c>
      <c r="C23">
        <f t="shared" si="0"/>
        <v>141.41658820955729</v>
      </c>
      <c r="D23">
        <f t="shared" si="1"/>
        <v>172.84249670057002</v>
      </c>
    </row>
    <row r="24" spans="1:4" x14ac:dyDescent="0.35">
      <c r="A24">
        <v>22</v>
      </c>
      <c r="B24">
        <f>Params!B2*EXP(-EXP(Params!B3 - Params!B4*A24))</f>
        <v>167.96503043587862</v>
      </c>
      <c r="C24">
        <f t="shared" si="0"/>
        <v>151.16852739229077</v>
      </c>
      <c r="D24">
        <f t="shared" si="1"/>
        <v>184.76153347946649</v>
      </c>
    </row>
    <row r="25" spans="1:4" x14ac:dyDescent="0.35">
      <c r="A25">
        <v>23</v>
      </c>
      <c r="B25">
        <f>Params!B2*EXP(-EXP(Params!B3 - Params!B4*A25))</f>
        <v>177.39041776085094</v>
      </c>
      <c r="C25">
        <f t="shared" si="0"/>
        <v>159.65137598476585</v>
      </c>
      <c r="D25">
        <f t="shared" si="1"/>
        <v>195.12945953693605</v>
      </c>
    </row>
    <row r="26" spans="1:4" x14ac:dyDescent="0.35">
      <c r="A26">
        <v>24</v>
      </c>
      <c r="B26">
        <f>Params!B2*EXP(-EXP(Params!B3 - Params!B4*A26))</f>
        <v>185.49974353515955</v>
      </c>
      <c r="C26">
        <f t="shared" si="0"/>
        <v>166.9497691816436</v>
      </c>
      <c r="D26">
        <f t="shared" si="1"/>
        <v>204.04971788867553</v>
      </c>
    </row>
    <row r="27" spans="1:4" x14ac:dyDescent="0.35">
      <c r="A27">
        <v>25</v>
      </c>
      <c r="B27">
        <f>Params!B2*EXP(-EXP(Params!B3 - Params!B4*A27))</f>
        <v>192.41435184908053</v>
      </c>
      <c r="C27">
        <f t="shared" si="0"/>
        <v>173.17291666417248</v>
      </c>
      <c r="D27">
        <f t="shared" si="1"/>
        <v>211.65578703398862</v>
      </c>
    </row>
    <row r="28" spans="1:4" x14ac:dyDescent="0.35">
      <c r="A28">
        <v>26</v>
      </c>
      <c r="B28">
        <f>Params!B2*EXP(-EXP(Params!B3 - Params!B4*A28))</f>
        <v>198.26702519793747</v>
      </c>
      <c r="C28">
        <f t="shared" si="0"/>
        <v>178.44032267814373</v>
      </c>
      <c r="D28">
        <f t="shared" si="1"/>
        <v>218.09372771773124</v>
      </c>
    </row>
    <row r="29" spans="1:4" x14ac:dyDescent="0.35">
      <c r="A29">
        <v>27</v>
      </c>
      <c r="B29">
        <f>Params!B2*EXP(-EXP(Params!B3 - Params!B4*A29))</f>
        <v>203.19108853729014</v>
      </c>
      <c r="C29">
        <f t="shared" si="0"/>
        <v>182.87197968356114</v>
      </c>
      <c r="D29">
        <f t="shared" si="1"/>
        <v>223.51019739101918</v>
      </c>
    </row>
    <row r="30" spans="1:4" x14ac:dyDescent="0.35">
      <c r="A30">
        <v>28</v>
      </c>
      <c r="B30">
        <f>Params!B2*EXP(-EXP(Params!B3 - Params!B4*A30))</f>
        <v>207.31348421526209</v>
      </c>
      <c r="C30">
        <f t="shared" si="0"/>
        <v>186.58213579373589</v>
      </c>
      <c r="D30">
        <f t="shared" si="1"/>
        <v>228.04483263678833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>
      <selection activeCell="H21" sqref="H21"/>
    </sheetView>
  </sheetViews>
  <sheetFormatPr defaultRowHeight="14.5" x14ac:dyDescent="0.35"/>
  <cols>
    <col min="1" max="4" width="16.7265625" customWidth="1"/>
    <col min="5" max="7" width="18.7265625" customWidth="1"/>
    <col min="8" max="8" width="16.7265625" customWidth="1"/>
    <col min="9" max="14" width="20.7265625" customWidth="1"/>
    <col min="15" max="15" width="40.7265625" customWidth="1"/>
  </cols>
  <sheetData>
    <row r="1" spans="1:16" ht="18.5" x14ac:dyDescent="0.45">
      <c r="A1" s="2" t="s">
        <v>8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1" t="s">
        <v>27</v>
      </c>
    </row>
    <row r="2" spans="1:16" x14ac:dyDescent="0.35">
      <c r="A2">
        <v>0</v>
      </c>
      <c r="B2">
        <f>Params!B2*EXP(-EXP(Params!B3 - Params!B4*A2))</f>
        <v>5.0313365137603598E-9</v>
      </c>
      <c r="C2">
        <f t="shared" ref="C2:C9" si="0">B2*0.9</f>
        <v>4.5282028623843242E-9</v>
      </c>
      <c r="D2">
        <f t="shared" ref="D2:D9" si="1">B2*1.1</f>
        <v>5.5344701651363963E-9</v>
      </c>
      <c r="E2">
        <v>3.5</v>
      </c>
      <c r="F2">
        <f t="shared" ref="F2:F9" si="2">E2-B2</f>
        <v>3.4999999949686633</v>
      </c>
      <c r="G2" s="4">
        <f t="shared" ref="G2:G9" si="3">IF(B2&gt;0,(E2-B2)/B2,"")</f>
        <v>695640211.18372893</v>
      </c>
      <c r="H2" t="str">
        <f t="shared" ref="H2:H9" si="4">IF(E2="","",IF(E2&lt;C2,"Below",IF(E2&gt;D2,"Above","Within")))</f>
        <v>Above</v>
      </c>
      <c r="I2" t="s">
        <v>32</v>
      </c>
      <c r="P2" s="2" t="s">
        <v>28</v>
      </c>
    </row>
    <row r="3" spans="1:16" x14ac:dyDescent="0.35">
      <c r="A3">
        <v>4</v>
      </c>
      <c r="B3">
        <f>Params!B2*EXP(-EXP(Params!B3 - Params!B4*A3))</f>
        <v>3.7044282035862434E-3</v>
      </c>
      <c r="C3">
        <f t="shared" si="0"/>
        <v>3.3339853832276192E-3</v>
      </c>
      <c r="D3">
        <f t="shared" si="1"/>
        <v>4.0748710239448677E-3</v>
      </c>
      <c r="E3">
        <v>13.1</v>
      </c>
      <c r="F3">
        <f t="shared" si="2"/>
        <v>13.096295571796414</v>
      </c>
      <c r="G3" s="4">
        <f t="shared" si="3"/>
        <v>3535.3082451747719</v>
      </c>
      <c r="H3" t="str">
        <f t="shared" si="4"/>
        <v>Above</v>
      </c>
      <c r="I3" t="s">
        <v>32</v>
      </c>
      <c r="P3" cm="1">
        <f t="array" ref="P3">IFERROR(RSQ(_xlfn._xlws.FILTER(E2:E9,ISNUMBER(E2:E9)), _xlfn._xlws.FILTER(B2:B9,ISNUMBER(E2:E9))),"")</f>
        <v>0.86761538880204092</v>
      </c>
    </row>
    <row r="4" spans="1:16" x14ac:dyDescent="0.35">
      <c r="A4">
        <v>8</v>
      </c>
      <c r="B4">
        <f>Params!B2*EXP(-EXP(Params!B3 - Params!B4*A4))</f>
        <v>1.6030652746215361</v>
      </c>
      <c r="C4">
        <f t="shared" si="0"/>
        <v>1.4427587471593826</v>
      </c>
      <c r="D4">
        <f t="shared" si="1"/>
        <v>1.7633718020836899</v>
      </c>
      <c r="E4">
        <v>19.8</v>
      </c>
      <c r="F4">
        <f t="shared" si="2"/>
        <v>18.196934725378465</v>
      </c>
      <c r="G4" s="4">
        <f t="shared" si="3"/>
        <v>11.351337349425485</v>
      </c>
      <c r="H4" t="str">
        <f t="shared" si="4"/>
        <v>Above</v>
      </c>
      <c r="I4" t="s">
        <v>32</v>
      </c>
    </row>
    <row r="5" spans="1:16" x14ac:dyDescent="0.35">
      <c r="A5">
        <v>12</v>
      </c>
      <c r="B5">
        <f>Params!B2*EXP(-EXP(Params!B3 - Params!B4*A5))</f>
        <v>24.518037937126291</v>
      </c>
      <c r="C5">
        <f t="shared" si="0"/>
        <v>22.066234143413663</v>
      </c>
      <c r="D5">
        <f t="shared" si="1"/>
        <v>26.969841730838922</v>
      </c>
      <c r="E5">
        <v>27.3</v>
      </c>
      <c r="F5">
        <f t="shared" si="2"/>
        <v>2.7819620628737098</v>
      </c>
      <c r="G5" s="4">
        <f t="shared" si="3"/>
        <v>0.11346593353055957</v>
      </c>
      <c r="H5" t="str">
        <f t="shared" si="4"/>
        <v>Above</v>
      </c>
      <c r="I5" t="s">
        <v>33</v>
      </c>
      <c r="L5" t="s">
        <v>34</v>
      </c>
      <c r="O5" t="s">
        <v>26</v>
      </c>
    </row>
    <row r="6" spans="1:16" x14ac:dyDescent="0.35">
      <c r="A6">
        <v>16</v>
      </c>
      <c r="B6">
        <f>Params!B2*EXP(-EXP(Params!B3 - Params!B4*A6))</f>
        <v>83.508633145917415</v>
      </c>
      <c r="C6">
        <f t="shared" si="0"/>
        <v>75.15776983132568</v>
      </c>
      <c r="D6">
        <f t="shared" si="1"/>
        <v>91.859496460509163</v>
      </c>
      <c r="E6">
        <v>42.3</v>
      </c>
      <c r="F6">
        <f t="shared" si="2"/>
        <v>-41.208633145917418</v>
      </c>
      <c r="G6" s="4">
        <f t="shared" si="3"/>
        <v>-0.49346554474089166</v>
      </c>
      <c r="H6" t="str">
        <f t="shared" si="4"/>
        <v>Below</v>
      </c>
      <c r="I6" t="s">
        <v>35</v>
      </c>
    </row>
    <row r="7" spans="1:16" x14ac:dyDescent="0.35">
      <c r="A7">
        <v>20</v>
      </c>
      <c r="B7">
        <f>Params!B2*EXP(-EXP(Params!B3 - Params!B4*A7))</f>
        <v>144.83874981411822</v>
      </c>
      <c r="C7">
        <f t="shared" si="0"/>
        <v>130.3548748327064</v>
      </c>
      <c r="D7">
        <f t="shared" si="1"/>
        <v>159.32262479553006</v>
      </c>
      <c r="E7">
        <v>80.8</v>
      </c>
      <c r="F7">
        <f t="shared" si="2"/>
        <v>-64.038749814118219</v>
      </c>
      <c r="G7" s="4">
        <f t="shared" si="3"/>
        <v>-0.44213823922329948</v>
      </c>
      <c r="H7" t="str">
        <f t="shared" si="4"/>
        <v>Below</v>
      </c>
      <c r="I7" t="s">
        <v>36</v>
      </c>
    </row>
    <row r="8" spans="1:16" x14ac:dyDescent="0.35">
      <c r="A8">
        <v>24</v>
      </c>
      <c r="B8">
        <f>Params!B2*EXP(-EXP(Params!B3 - Params!B4*A8))</f>
        <v>185.49974353515955</v>
      </c>
      <c r="C8">
        <f t="shared" si="0"/>
        <v>166.9497691816436</v>
      </c>
      <c r="D8">
        <f t="shared" si="1"/>
        <v>204.04971788867553</v>
      </c>
      <c r="E8">
        <v>139.30000000000001</v>
      </c>
      <c r="F8">
        <f t="shared" si="2"/>
        <v>-46.199743535159541</v>
      </c>
      <c r="G8" s="4">
        <f t="shared" si="3"/>
        <v>-0.24905556554800767</v>
      </c>
      <c r="H8" t="str">
        <f t="shared" si="4"/>
        <v>Below</v>
      </c>
    </row>
    <row r="9" spans="1:16" x14ac:dyDescent="0.35">
      <c r="A9">
        <v>28</v>
      </c>
      <c r="B9">
        <f>Params!B2*EXP(-EXP(Params!B3 - Params!B4*A9))</f>
        <v>207.31348421526209</v>
      </c>
      <c r="C9">
        <f t="shared" si="0"/>
        <v>186.58213579373589</v>
      </c>
      <c r="D9">
        <f t="shared" si="1"/>
        <v>228.04483263678833</v>
      </c>
      <c r="E9">
        <v>219.8</v>
      </c>
      <c r="F9">
        <f t="shared" si="2"/>
        <v>12.486515784737918</v>
      </c>
      <c r="G9" s="4">
        <f t="shared" si="3"/>
        <v>6.023011880776967E-2</v>
      </c>
      <c r="H9" t="str">
        <f t="shared" si="4"/>
        <v>Within</v>
      </c>
    </row>
  </sheetData>
  <conditionalFormatting sqref="H2:H9">
    <cfRule type="containsText" dxfId="2" priority="1" operator="containsText" text="Below">
      <formula>NOT(ISERROR(SEARCH("Below",H2)))</formula>
    </cfRule>
    <cfRule type="containsText" dxfId="1" priority="2" operator="containsText" text="Within">
      <formula>NOT(ISERROR(SEARCH("Within",H2)))</formula>
    </cfRule>
    <cfRule type="containsText" dxfId="0" priority="3" operator="containsText" text="Above">
      <formula>NOT(ISERROR(SEARCH("Above",H2)))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D36" sqref="D36"/>
    </sheetView>
  </sheetViews>
  <sheetFormatPr defaultRowHeight="14.5" x14ac:dyDescent="0.35"/>
  <cols>
    <col min="1" max="1" width="82.81640625" bestFit="1" customWidth="1"/>
  </cols>
  <sheetData>
    <row r="1" spans="1:2" ht="18.5" x14ac:dyDescent="0.45">
      <c r="A1" s="1" t="s">
        <v>29</v>
      </c>
    </row>
    <row r="3" spans="1:2" x14ac:dyDescent="0.35">
      <c r="A3" s="3" t="s">
        <v>30</v>
      </c>
    </row>
    <row r="5" spans="1:2" x14ac:dyDescent="0.35">
      <c r="A5" s="2" t="s">
        <v>31</v>
      </c>
      <c r="B5">
        <f>'Checkpoints (Every 4d)'!P3</f>
        <v>0.86761538880204092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Baseline (Daily)</vt:lpstr>
      <vt:lpstr>Checkpoints (Every 4d)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Mattia</cp:lastModifiedBy>
  <dcterms:created xsi:type="dcterms:W3CDTF">2025-10-29T02:55:42Z</dcterms:created>
  <dcterms:modified xsi:type="dcterms:W3CDTF">2025-12-08T03:48:15Z</dcterms:modified>
</cp:coreProperties>
</file>